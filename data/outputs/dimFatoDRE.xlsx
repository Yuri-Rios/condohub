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yuririos/projects/CondoHub/data/outputs/"/>
    </mc:Choice>
  </mc:AlternateContent>
  <xr:revisionPtr revIDLastSave="0" documentId="13_ncr:1_{DE65FC01-5D44-1C4C-913A-83D1923E2BC1}" xr6:coauthVersionLast="47" xr6:coauthVersionMax="47" xr10:uidLastSave="{00000000-0000-0000-0000-000000000000}"/>
  <bookViews>
    <workbookView xWindow="0" yWindow="600" windowWidth="25600" windowHeight="28200" tabRatio="212" activeTab="1" xr2:uid="{00000000-000D-0000-FFFF-FFFF00000000}"/>
  </bookViews>
  <sheets>
    <sheet name="database" sheetId="1" r:id="rId1"/>
    <sheet name="dimP&amp;L" sheetId="4" r:id="rId2"/>
    <sheet name="Dinamica" sheetId="3" r:id="rId3"/>
    <sheet name="Forecast" sheetId="7" r:id="rId4"/>
  </sheets>
  <definedNames>
    <definedName name="_xlnm._FilterDatabase" localSheetId="0" hidden="1">database!$B$1:$I$50</definedName>
  </definedNames>
  <calcPr calcId="191029"/>
  <pivotCaches>
    <pivotCache cacheId="20" r:id="rId5"/>
    <pivotCache cacheId="2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8" i="1" l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<sst xmlns="http://schemas.openxmlformats.org/spreadsheetml/2006/main" count="879" uniqueCount="155">
  <si>
    <t>Receitas</t>
  </si>
  <si>
    <t>Receitas Ordinárias</t>
  </si>
  <si>
    <t>Taxa Condominial</t>
  </si>
  <si>
    <t>Acordo</t>
  </si>
  <si>
    <t>Outras Receitas</t>
  </si>
  <si>
    <t>Devolução</t>
  </si>
  <si>
    <t>Desconto de Pontualidade</t>
  </si>
  <si>
    <t>Rendimentos</t>
  </si>
  <si>
    <t>Rendimento de Investimentos</t>
  </si>
  <si>
    <t>Financeiras</t>
  </si>
  <si>
    <t>Juros</t>
  </si>
  <si>
    <t>Multa</t>
  </si>
  <si>
    <t>Despesas</t>
  </si>
  <si>
    <t>Pessoal</t>
  </si>
  <si>
    <t>Salário</t>
  </si>
  <si>
    <t>Férias</t>
  </si>
  <si>
    <t>INSS Sobre Folha</t>
  </si>
  <si>
    <t>FGTS</t>
  </si>
  <si>
    <t>Vale Alimentação</t>
  </si>
  <si>
    <t>Vale Transporte</t>
  </si>
  <si>
    <t>Vale Combustível</t>
  </si>
  <si>
    <t>Pensão Alimentícia</t>
  </si>
  <si>
    <t>Pis Sobre Folha</t>
  </si>
  <si>
    <t>FGTS sobre 13 Salário</t>
  </si>
  <si>
    <t>Portaria Virtual</t>
  </si>
  <si>
    <t>Concessionárias</t>
  </si>
  <si>
    <t>Energia</t>
  </si>
  <si>
    <t>Agua e Esgoto</t>
  </si>
  <si>
    <t>Telefone Móvel</t>
  </si>
  <si>
    <t>Manutenção</t>
  </si>
  <si>
    <t>Manutenção de Elevadores</t>
  </si>
  <si>
    <t>Substituição de Peças</t>
  </si>
  <si>
    <t>Obrigações Legais</t>
  </si>
  <si>
    <t>Seguro Predial</t>
  </si>
  <si>
    <t>Impostos e Tributos</t>
  </si>
  <si>
    <t>Parcelamento INSS</t>
  </si>
  <si>
    <t>Impostos Sobre Investimentos</t>
  </si>
  <si>
    <t>Bens e Equipamentos</t>
  </si>
  <si>
    <t>Aquisição de Piscina</t>
  </si>
  <si>
    <t>Outras Despesas</t>
  </si>
  <si>
    <t>Anuidade</t>
  </si>
  <si>
    <t>Débito Indevido</t>
  </si>
  <si>
    <t>Despesas Administrativas</t>
  </si>
  <si>
    <t>Taxa de Administração</t>
  </si>
  <si>
    <t>Cópias</t>
  </si>
  <si>
    <t>Encadernação</t>
  </si>
  <si>
    <t>Despesas com Cartório</t>
  </si>
  <si>
    <t>Titulo de Capitalização</t>
  </si>
  <si>
    <t>Serviços Prestados</t>
  </si>
  <si>
    <t>Serviços Prestados ao Condomínio</t>
  </si>
  <si>
    <t>Serviço de Pedreiro</t>
  </si>
  <si>
    <t>Serviço de Elaboração de Projetos</t>
  </si>
  <si>
    <t>Serviço Elétrico</t>
  </si>
  <si>
    <t>Serviço Hidráulico</t>
  </si>
  <si>
    <t>Compra de Materiais</t>
  </si>
  <si>
    <t>Material de Limpeza</t>
  </si>
  <si>
    <t>Material Elétrico e Hidráulico</t>
  </si>
  <si>
    <t>Material de Pintura</t>
  </si>
  <si>
    <t>Material de Construção</t>
  </si>
  <si>
    <t>Material Para Manutenção</t>
  </si>
  <si>
    <t>Material Para Sinalização</t>
  </si>
  <si>
    <t>Material Para Piscina</t>
  </si>
  <si>
    <t>Material Elétrico</t>
  </si>
  <si>
    <t>Material Hidráulico</t>
  </si>
  <si>
    <t>Tarifa Bancária</t>
  </si>
  <si>
    <t>IndexP&amp;L</t>
  </si>
  <si>
    <t>IndexGroup</t>
  </si>
  <si>
    <t>IndexSubgroup</t>
  </si>
  <si>
    <t>Descrição</t>
  </si>
  <si>
    <t>Group</t>
  </si>
  <si>
    <t>P&amp;L</t>
  </si>
  <si>
    <t>(blank)</t>
  </si>
  <si>
    <t>Grand Total</t>
  </si>
  <si>
    <t>Valor</t>
  </si>
  <si>
    <t>Data</t>
  </si>
  <si>
    <t>&lt;01/01/26</t>
  </si>
  <si>
    <t>Jan</t>
  </si>
  <si>
    <t>Feb</t>
  </si>
  <si>
    <t>Mar</t>
  </si>
  <si>
    <t>Sum of Valor</t>
  </si>
  <si>
    <t>Months (Data)</t>
  </si>
  <si>
    <t>Days (Data)</t>
  </si>
  <si>
    <t>Receitas Ordinárias Total</t>
  </si>
  <si>
    <t>1 Total</t>
  </si>
  <si>
    <t>Outras Receitas Total</t>
  </si>
  <si>
    <t>2 Total</t>
  </si>
  <si>
    <t>Rendimentos Total</t>
  </si>
  <si>
    <t>3 Total</t>
  </si>
  <si>
    <t>Financeiras Total</t>
  </si>
  <si>
    <t>4 Total</t>
  </si>
  <si>
    <t>Receitas Total</t>
  </si>
  <si>
    <t>Pessoal Total</t>
  </si>
  <si>
    <t>Concessionárias Total</t>
  </si>
  <si>
    <t>Manutenção Total</t>
  </si>
  <si>
    <t>Obrigações Legais Total</t>
  </si>
  <si>
    <t>Impostos e Tributos Total</t>
  </si>
  <si>
    <t>5 Total</t>
  </si>
  <si>
    <t>Bens e Equipamentos Total</t>
  </si>
  <si>
    <t>6 Total</t>
  </si>
  <si>
    <t>Outras Despesas Total</t>
  </si>
  <si>
    <t>7 Total</t>
  </si>
  <si>
    <t>Despesas Administrativas Total</t>
  </si>
  <si>
    <t>8 Total</t>
  </si>
  <si>
    <t>Serviços Prestados Total</t>
  </si>
  <si>
    <t>9 Total</t>
  </si>
  <si>
    <t>Compra de Materiais Total</t>
  </si>
  <si>
    <t>10 Total</t>
  </si>
  <si>
    <t>11 Total</t>
  </si>
  <si>
    <t>Despesas Total</t>
  </si>
  <si>
    <t>(blank) Total</t>
  </si>
  <si>
    <t>Serviço de Manutenção em Bombas</t>
  </si>
  <si>
    <t>Serviço de Reformas e Estruturação</t>
  </si>
  <si>
    <t>Serviço de Manutenção em Motores</t>
  </si>
  <si>
    <t>Serviço de Manutenção em Portões</t>
  </si>
  <si>
    <t>Serviço de Manutenção em Eletrodoméstico</t>
  </si>
  <si>
    <t>Serviço de Manutenção em Elevadores</t>
  </si>
  <si>
    <t>Refeição e Transporte - Serviços Prestados</t>
  </si>
  <si>
    <t>Refeição - Serviços Prestados</t>
  </si>
  <si>
    <t>Material Para Jardim</t>
  </si>
  <si>
    <t>Material de Impermeabilização</t>
  </si>
  <si>
    <t>Compra de Ferragens</t>
  </si>
  <si>
    <t>Serviços Retirada de Entulho</t>
  </si>
  <si>
    <t>Frete</t>
  </si>
  <si>
    <t>Serviço de Jardinagem</t>
  </si>
  <si>
    <t>Manutenção de Conta</t>
  </si>
  <si>
    <t>Tarifa de Cartão de Crédito</t>
  </si>
  <si>
    <t>Recarga de Extintores</t>
  </si>
  <si>
    <t>Certificado Digital</t>
  </si>
  <si>
    <t>Pagamento A Maior</t>
  </si>
  <si>
    <t>Pagamento A Menor</t>
  </si>
  <si>
    <t>Honorário Advocatício</t>
  </si>
  <si>
    <t>Ressarcimento</t>
  </si>
  <si>
    <t>Descontos</t>
  </si>
  <si>
    <t>Estorno</t>
  </si>
  <si>
    <t>Adiantamento 13 Salário</t>
  </si>
  <si>
    <t>INSS Sobre 13 Salário</t>
  </si>
  <si>
    <t>Hora extra</t>
  </si>
  <si>
    <t>FGTS Rescisório</t>
  </si>
  <si>
    <t>Rescisão</t>
  </si>
  <si>
    <t>Mensalidade Sindical</t>
  </si>
  <si>
    <t>IRRF Sobre Folha</t>
  </si>
  <si>
    <t>Mensalidade Associativa</t>
  </si>
  <si>
    <t>PIS sobre 13 Salário</t>
  </si>
  <si>
    <t>Telefone-Internet</t>
  </si>
  <si>
    <t>Dedetização</t>
  </si>
  <si>
    <t>Dam</t>
  </si>
  <si>
    <t>Aquisição de Bomba</t>
  </si>
  <si>
    <t>Ajuste de Saldo</t>
  </si>
  <si>
    <t>Devolução de Débito Indevido</t>
  </si>
  <si>
    <t>Honorários Advocatícios</t>
  </si>
  <si>
    <t>P&amp;LName</t>
  </si>
  <si>
    <t>Row Labels</t>
  </si>
  <si>
    <t>1.Receitas</t>
  </si>
  <si>
    <t>2.Despesas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</si>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</sst>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yyyy\-mm\-dd;@"/>
  </numFmts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12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44" fontId="1" fillId="0" borderId="0" xfId="1"/>
    <xf numFmtId="44" fontId="0" fillId="0" borderId="0" xfId="0" applyNumberFormat="1"/>
    <xf numFmtId="44" fontId="0" fillId="0" borderId="0" xfId="0" pivotButton="1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10">
    <dxf>
      <numFmt numFmtId="165" formatCode="yyyy\-mm\-dd;@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Rios" refreshedDate="46210.620460300925" createdVersion="8" refreshedVersion="8" minRefreshableVersion="3" recordCount="148" xr:uid="{120183ED-2833-2C43-8198-8401A0B38946}">
  <cacheSource type="worksheet">
    <worksheetSource ref="B1:I1048576" sheet="database"/>
  </cacheSource>
  <cacheFields count="10">
    <cacheField name="IndexP&amp;L" numFmtId="0">
      <sharedItems containsString="0" containsBlank="1" containsNumber="1" containsInteger="1" minValue="1" maxValue="2" count="3">
        <n v="1"/>
        <n v="2"/>
        <m/>
      </sharedItems>
    </cacheField>
    <cacheField name="P&amp;L" numFmtId="0">
      <sharedItems containsBlank="1" count="3">
        <s v="Receitas"/>
        <s v="Despesas"/>
        <m/>
      </sharedItems>
    </cacheField>
    <cacheField name="IndexGroup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Group" numFmtId="0">
      <sharedItems containsBlank="1" count="15">
        <s v="Receitas Ordinárias"/>
        <s v="Outras Receitas"/>
        <s v="Rendimentos"/>
        <s v="Financeiras"/>
        <s v="Pessoal"/>
        <s v="Concessionárias"/>
        <s v="Manutenção"/>
        <s v="Obrigações Legais"/>
        <s v="Impostos e Tributos"/>
        <s v="Bens e Equipamentos"/>
        <s v="Outras Despesas"/>
        <s v="Despesas Administrativas"/>
        <s v="Serviços Prestados"/>
        <s v="Compra de Materiais"/>
        <m/>
      </sharedItems>
    </cacheField>
    <cacheField name="IndexSubgroup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Descrição" numFmtId="0">
      <sharedItems containsBlank="1"/>
    </cacheField>
    <cacheField name="Valor" numFmtId="0">
      <sharedItems containsString="0" containsBlank="1" containsNumber="1" minValue="-3334.5" maxValue="33345"/>
    </cacheField>
    <cacheField name="Data" numFmtId="0">
      <sharedItems containsNonDate="0" containsDate="1" containsString="0" containsBlank="1" minDate="2026-01-01T00:00:00" maxDate="2026-03-02T00:00:00" count="4">
        <d v="2026-01-01T00:00:00"/>
        <d v="2026-02-01T00:00:00"/>
        <d v="2026-03-01T00:00:00"/>
        <m/>
      </sharedItems>
      <fieldGroup par="9"/>
    </cacheField>
    <cacheField name="Days (Data)" numFmtId="0" databaseField="0">
      <fieldGroup base="7">
        <rangePr groupBy="days" startDate="2026-01-01T00:00:00" endDate="2026-03-02T00:00:00"/>
        <groupItems count="368">
          <s v="&lt;01/01/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b"/>
          <s v="02/Feb"/>
          <s v="03/Feb"/>
          <s v="04/Feb"/>
          <s v="05/Feb"/>
          <s v="06/Feb"/>
          <s v="07/Feb"/>
          <s v="08/Feb"/>
          <s v="09/Feb"/>
          <s v="10/Feb"/>
          <s v="11/Feb"/>
          <s v="12/Feb"/>
          <s v="13/Feb"/>
          <s v="14/Feb"/>
          <s v="15/Feb"/>
          <s v="16/Feb"/>
          <s v="17/Feb"/>
          <s v="18/Feb"/>
          <s v="19/Feb"/>
          <s v="20/Feb"/>
          <s v="21/Feb"/>
          <s v="22/Feb"/>
          <s v="23/Feb"/>
          <s v="24/Feb"/>
          <s v="25/Feb"/>
          <s v="26/Feb"/>
          <s v="27/Feb"/>
          <s v="28/Feb"/>
          <s v="29/Feb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pr"/>
          <s v="02/Apr"/>
          <s v="03/Apr"/>
          <s v="04/Apr"/>
          <s v="05/Apr"/>
          <s v="06/Apr"/>
          <s v="07/Apr"/>
          <s v="08/Apr"/>
          <s v="09/Apr"/>
          <s v="10/Apr"/>
          <s v="11/Apr"/>
          <s v="12/Apr"/>
          <s v="13/Apr"/>
          <s v="14/Apr"/>
          <s v="15/Apr"/>
          <s v="16/Apr"/>
          <s v="17/Apr"/>
          <s v="18/Apr"/>
          <s v="19/Apr"/>
          <s v="20/Apr"/>
          <s v="21/Apr"/>
          <s v="22/Apr"/>
          <s v="23/Apr"/>
          <s v="24/Apr"/>
          <s v="25/Apr"/>
          <s v="26/Apr"/>
          <s v="27/Apr"/>
          <s v="28/Apr"/>
          <s v="29/Apr"/>
          <s v="30/Apr"/>
          <s v="01/May"/>
          <s v="02/May"/>
          <s v="03/May"/>
          <s v="04/May"/>
          <s v="05/May"/>
          <s v="06/May"/>
          <s v="07/May"/>
          <s v="08/May"/>
          <s v="09/May"/>
          <s v="10/May"/>
          <s v="11/May"/>
          <s v="12/May"/>
          <s v="13/May"/>
          <s v="14/May"/>
          <s v="15/May"/>
          <s v="16/May"/>
          <s v="17/May"/>
          <s v="18/May"/>
          <s v="19/May"/>
          <s v="20/May"/>
          <s v="21/May"/>
          <s v="22/May"/>
          <s v="23/May"/>
          <s v="24/May"/>
          <s v="25/May"/>
          <s v="26/May"/>
          <s v="27/May"/>
          <s v="28/May"/>
          <s v="29/May"/>
          <s v="30/May"/>
          <s v="31/May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ug"/>
          <s v="02/Aug"/>
          <s v="03/Aug"/>
          <s v="04/Aug"/>
          <s v="05/Aug"/>
          <s v="06/Aug"/>
          <s v="07/Aug"/>
          <s v="08/Aug"/>
          <s v="09/Aug"/>
          <s v="10/Aug"/>
          <s v="11/Aug"/>
          <s v="12/Aug"/>
          <s v="13/Aug"/>
          <s v="14/Aug"/>
          <s v="15/Aug"/>
          <s v="16/Aug"/>
          <s v="17/Aug"/>
          <s v="18/Aug"/>
          <s v="19/Aug"/>
          <s v="20/Aug"/>
          <s v="21/Aug"/>
          <s v="22/Aug"/>
          <s v="23/Aug"/>
          <s v="24/Aug"/>
          <s v="25/Aug"/>
          <s v="26/Aug"/>
          <s v="27/Aug"/>
          <s v="28/Aug"/>
          <s v="29/Aug"/>
          <s v="30/Aug"/>
          <s v="31/Aug"/>
          <s v="01/Sep"/>
          <s v="02/Sep"/>
          <s v="03/Sep"/>
          <s v="04/Sep"/>
          <s v="05/Sep"/>
          <s v="06/Sep"/>
          <s v="07/Sep"/>
          <s v="08/Sep"/>
          <s v="09/Sep"/>
          <s v="10/Sep"/>
          <s v="11/Sep"/>
          <s v="12/Sep"/>
          <s v="13/Sep"/>
          <s v="14/Sep"/>
          <s v="15/Sep"/>
          <s v="16/Sep"/>
          <s v="17/Sep"/>
          <s v="18/Sep"/>
          <s v="19/Sep"/>
          <s v="20/Sep"/>
          <s v="21/Sep"/>
          <s v="22/Sep"/>
          <s v="23/Sep"/>
          <s v="24/Sep"/>
          <s v="25/Sep"/>
          <s v="26/Sep"/>
          <s v="27/Sep"/>
          <s v="28/Sep"/>
          <s v="29/Sep"/>
          <s v="30/Sep"/>
          <s v="01/Oct"/>
          <s v="02/Oct"/>
          <s v="03/Oct"/>
          <s v="04/Oct"/>
          <s v="05/Oct"/>
          <s v="06/Oct"/>
          <s v="07/Oct"/>
          <s v="08/Oct"/>
          <s v="09/Oct"/>
          <s v="10/Oct"/>
          <s v="11/Oct"/>
          <s v="12/Oct"/>
          <s v="13/Oct"/>
          <s v="14/Oct"/>
          <s v="15/Oct"/>
          <s v="16/Oct"/>
          <s v="17/Oct"/>
          <s v="18/Oct"/>
          <s v="19/Oct"/>
          <s v="20/Oct"/>
          <s v="21/Oct"/>
          <s v="22/Oct"/>
          <s v="23/Oct"/>
          <s v="24/Oct"/>
          <s v="25/Oct"/>
          <s v="26/Oct"/>
          <s v="27/Oct"/>
          <s v="28/Oct"/>
          <s v="29/Oct"/>
          <s v="30/Oct"/>
          <s v="31/Oc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c"/>
          <s v="02/Dec"/>
          <s v="03/Dec"/>
          <s v="04/Dec"/>
          <s v="05/Dec"/>
          <s v="06/Dec"/>
          <s v="07/Dec"/>
          <s v="08/Dec"/>
          <s v="09/Dec"/>
          <s v="10/Dec"/>
          <s v="11/Dec"/>
          <s v="12/Dec"/>
          <s v="13/Dec"/>
          <s v="14/Dec"/>
          <s v="15/Dec"/>
          <s v="16/Dec"/>
          <s v="17/Dec"/>
          <s v="18/Dec"/>
          <s v="19/Dec"/>
          <s v="20/Dec"/>
          <s v="21/Dec"/>
          <s v="22/Dec"/>
          <s v="23/Dec"/>
          <s v="24/Dec"/>
          <s v="25/Dec"/>
          <s v="26/Dec"/>
          <s v="27/Dec"/>
          <s v="28/Dec"/>
          <s v="29/Dec"/>
          <s v="30/Dec"/>
          <s v="31/Dec"/>
          <s v="&gt;02/03/26"/>
        </groupItems>
      </fieldGroup>
    </cacheField>
    <cacheField name="Months (Data)" numFmtId="0" databaseField="0">
      <fieldGroup base="7">
        <rangePr groupBy="months" startDate="2026-01-01T00:00:00" endDate="2026-03-02T00:00:00"/>
        <groupItems count="14">
          <s v="&lt;01/0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3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Rios" refreshedDate="46210.620718865743" createdVersion="8" refreshedVersion="8" minRefreshableVersion="3" recordCount="148" xr:uid="{2EE7947C-F3D4-6244-9EDC-EF14043E7455}">
  <cacheSource type="worksheet">
    <worksheetSource ref="A1:I1048576" sheet="database"/>
  </cacheSource>
  <cacheFields count="11">
    <cacheField name="P&amp;LName" numFmtId="0">
      <sharedItems containsBlank="1" count="3">
        <s v="1.Receitas"/>
        <s v="2.Despesas"/>
        <m/>
      </sharedItems>
    </cacheField>
    <cacheField name="IndexP&amp;L" numFmtId="0">
      <sharedItems containsString="0" containsBlank="1" containsNumber="1" containsInteger="1" minValue="1" maxValue="2"/>
    </cacheField>
    <cacheField name="P&amp;L" numFmtId="0">
      <sharedItems containsBlank="1"/>
    </cacheField>
    <cacheField name="IndexGroup" numFmtId="0">
      <sharedItems containsString="0" containsBlank="1" containsNumber="1" containsInteger="1" minValue="1" maxValue="11"/>
    </cacheField>
    <cacheField name="Group" numFmtId="0">
      <sharedItems containsBlank="1" count="15">
        <s v="Receitas Ordinárias"/>
        <s v="Outras Receitas"/>
        <s v="Rendimentos"/>
        <s v="Financeiras"/>
        <s v="Pessoal"/>
        <s v="Concessionárias"/>
        <s v="Manutenção"/>
        <s v="Obrigações Legais"/>
        <s v="Impostos e Tributos"/>
        <s v="Bens e Equipamentos"/>
        <s v="Outras Despesas"/>
        <s v="Despesas Administrativas"/>
        <s v="Serviços Prestados"/>
        <s v="Compra de Materiais"/>
        <m/>
      </sharedItems>
    </cacheField>
    <cacheField name="IndexSubgroup" numFmtId="0">
      <sharedItems containsString="0" containsBlank="1" containsNumber="1" containsInteger="1" minValue="1" maxValue="11"/>
    </cacheField>
    <cacheField name="Descrição" numFmtId="0">
      <sharedItems containsBlank="1" count="50">
        <s v="Taxa Condominial"/>
        <s v="Acordo"/>
        <s v="Devolução"/>
        <s v="Desconto de Pontualidade"/>
        <s v="Rendimento de Investimentos"/>
        <s v="Juros"/>
        <s v="Multa"/>
        <s v="Salário"/>
        <s v="Férias"/>
        <s v="INSS Sobre Folha"/>
        <s v="FGTS"/>
        <s v="Vale Alimentação"/>
        <s v="Vale Transporte"/>
        <s v="Vale Combustível"/>
        <s v="Pensão Alimentícia"/>
        <s v="Pis Sobre Folha"/>
        <s v="FGTS sobre 13 Salário"/>
        <s v="Portaria Virtual"/>
        <s v="Energia"/>
        <s v="Agua e Esgoto"/>
        <s v="Telefone Móvel"/>
        <s v="Manutenção de Elevadores"/>
        <s v="Substituição de Peças"/>
        <s v="Seguro Predial"/>
        <s v="Parcelamento INSS"/>
        <s v="Impostos Sobre Investimentos"/>
        <s v="Aquisição de Piscina"/>
        <s v="Anuidade"/>
        <s v="Débito Indevido"/>
        <s v="Taxa de Administração"/>
        <s v="Cópias"/>
        <s v="Encadernação"/>
        <s v="Despesas com Cartório"/>
        <s v="Titulo de Capitalização"/>
        <s v="Serviços Prestados ao Condomínio"/>
        <s v="Serviço de Pedreiro"/>
        <s v="Serviço de Elaboração de Projetos"/>
        <s v="Serviço Elétrico"/>
        <s v="Serviço Hidráulico"/>
        <s v="Material de Limpeza"/>
        <s v="Material Elétrico e Hidráulico"/>
        <s v="Material de Pintura"/>
        <s v="Material de Construção"/>
        <s v="Material Para Manutenção"/>
        <s v="Material Para Sinalização"/>
        <s v="Material Para Piscina"/>
        <s v="Material Elétrico"/>
        <s v="Material Hidráulico"/>
        <s v="Tarifa Bancária"/>
        <m/>
      </sharedItems>
    </cacheField>
    <cacheField name="Valor" numFmtId="0">
      <sharedItems containsString="0" containsBlank="1" containsNumber="1" minValue="-3334.5" maxValue="33345"/>
    </cacheField>
    <cacheField name="Data" numFmtId="0">
      <sharedItems containsNonDate="0" containsDate="1" containsString="0" containsBlank="1" minDate="2026-01-01T00:00:00" maxDate="2026-03-02T00:00:00" count="4">
        <d v="2026-01-01T00:00:00"/>
        <d v="2026-02-01T00:00:00"/>
        <d v="2026-03-01T00:00:00"/>
        <m/>
      </sharedItems>
      <fieldGroup par="10"/>
    </cacheField>
    <cacheField name="Days (Data)" numFmtId="0" databaseField="0">
      <fieldGroup base="8">
        <rangePr groupBy="days" startDate="2026-01-01T00:00:00" endDate="2026-03-02T00:00:00"/>
        <groupItems count="368">
          <s v="&lt;01/01/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b"/>
          <s v="02/Feb"/>
          <s v="03/Feb"/>
          <s v="04/Feb"/>
          <s v="05/Feb"/>
          <s v="06/Feb"/>
          <s v="07/Feb"/>
          <s v="08/Feb"/>
          <s v="09/Feb"/>
          <s v="10/Feb"/>
          <s v="11/Feb"/>
          <s v="12/Feb"/>
          <s v="13/Feb"/>
          <s v="14/Feb"/>
          <s v="15/Feb"/>
          <s v="16/Feb"/>
          <s v="17/Feb"/>
          <s v="18/Feb"/>
          <s v="19/Feb"/>
          <s v="20/Feb"/>
          <s v="21/Feb"/>
          <s v="22/Feb"/>
          <s v="23/Feb"/>
          <s v="24/Feb"/>
          <s v="25/Feb"/>
          <s v="26/Feb"/>
          <s v="27/Feb"/>
          <s v="28/Feb"/>
          <s v="29/Feb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pr"/>
          <s v="02/Apr"/>
          <s v="03/Apr"/>
          <s v="04/Apr"/>
          <s v="05/Apr"/>
          <s v="06/Apr"/>
          <s v="07/Apr"/>
          <s v="08/Apr"/>
          <s v="09/Apr"/>
          <s v="10/Apr"/>
          <s v="11/Apr"/>
          <s v="12/Apr"/>
          <s v="13/Apr"/>
          <s v="14/Apr"/>
          <s v="15/Apr"/>
          <s v="16/Apr"/>
          <s v="17/Apr"/>
          <s v="18/Apr"/>
          <s v="19/Apr"/>
          <s v="20/Apr"/>
          <s v="21/Apr"/>
          <s v="22/Apr"/>
          <s v="23/Apr"/>
          <s v="24/Apr"/>
          <s v="25/Apr"/>
          <s v="26/Apr"/>
          <s v="27/Apr"/>
          <s v="28/Apr"/>
          <s v="29/Apr"/>
          <s v="30/Apr"/>
          <s v="01/May"/>
          <s v="02/May"/>
          <s v="03/May"/>
          <s v="04/May"/>
          <s v="05/May"/>
          <s v="06/May"/>
          <s v="07/May"/>
          <s v="08/May"/>
          <s v="09/May"/>
          <s v="10/May"/>
          <s v="11/May"/>
          <s v="12/May"/>
          <s v="13/May"/>
          <s v="14/May"/>
          <s v="15/May"/>
          <s v="16/May"/>
          <s v="17/May"/>
          <s v="18/May"/>
          <s v="19/May"/>
          <s v="20/May"/>
          <s v="21/May"/>
          <s v="22/May"/>
          <s v="23/May"/>
          <s v="24/May"/>
          <s v="25/May"/>
          <s v="26/May"/>
          <s v="27/May"/>
          <s v="28/May"/>
          <s v="29/May"/>
          <s v="30/May"/>
          <s v="31/May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ug"/>
          <s v="02/Aug"/>
          <s v="03/Aug"/>
          <s v="04/Aug"/>
          <s v="05/Aug"/>
          <s v="06/Aug"/>
          <s v="07/Aug"/>
          <s v="08/Aug"/>
          <s v="09/Aug"/>
          <s v="10/Aug"/>
          <s v="11/Aug"/>
          <s v="12/Aug"/>
          <s v="13/Aug"/>
          <s v="14/Aug"/>
          <s v="15/Aug"/>
          <s v="16/Aug"/>
          <s v="17/Aug"/>
          <s v="18/Aug"/>
          <s v="19/Aug"/>
          <s v="20/Aug"/>
          <s v="21/Aug"/>
          <s v="22/Aug"/>
          <s v="23/Aug"/>
          <s v="24/Aug"/>
          <s v="25/Aug"/>
          <s v="26/Aug"/>
          <s v="27/Aug"/>
          <s v="28/Aug"/>
          <s v="29/Aug"/>
          <s v="30/Aug"/>
          <s v="31/Aug"/>
          <s v="01/Sep"/>
          <s v="02/Sep"/>
          <s v="03/Sep"/>
          <s v="04/Sep"/>
          <s v="05/Sep"/>
          <s v="06/Sep"/>
          <s v="07/Sep"/>
          <s v="08/Sep"/>
          <s v="09/Sep"/>
          <s v="10/Sep"/>
          <s v="11/Sep"/>
          <s v="12/Sep"/>
          <s v="13/Sep"/>
          <s v="14/Sep"/>
          <s v="15/Sep"/>
          <s v="16/Sep"/>
          <s v="17/Sep"/>
          <s v="18/Sep"/>
          <s v="19/Sep"/>
          <s v="20/Sep"/>
          <s v="21/Sep"/>
          <s v="22/Sep"/>
          <s v="23/Sep"/>
          <s v="24/Sep"/>
          <s v="25/Sep"/>
          <s v="26/Sep"/>
          <s v="27/Sep"/>
          <s v="28/Sep"/>
          <s v="29/Sep"/>
          <s v="30/Sep"/>
          <s v="01/Oct"/>
          <s v="02/Oct"/>
          <s v="03/Oct"/>
          <s v="04/Oct"/>
          <s v="05/Oct"/>
          <s v="06/Oct"/>
          <s v="07/Oct"/>
          <s v="08/Oct"/>
          <s v="09/Oct"/>
          <s v="10/Oct"/>
          <s v="11/Oct"/>
          <s v="12/Oct"/>
          <s v="13/Oct"/>
          <s v="14/Oct"/>
          <s v="15/Oct"/>
          <s v="16/Oct"/>
          <s v="17/Oct"/>
          <s v="18/Oct"/>
          <s v="19/Oct"/>
          <s v="20/Oct"/>
          <s v="21/Oct"/>
          <s v="22/Oct"/>
          <s v="23/Oct"/>
          <s v="24/Oct"/>
          <s v="25/Oct"/>
          <s v="26/Oct"/>
          <s v="27/Oct"/>
          <s v="28/Oct"/>
          <s v="29/Oct"/>
          <s v="30/Oct"/>
          <s v="31/Oc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c"/>
          <s v="02/Dec"/>
          <s v="03/Dec"/>
          <s v="04/Dec"/>
          <s v="05/Dec"/>
          <s v="06/Dec"/>
          <s v="07/Dec"/>
          <s v="08/Dec"/>
          <s v="09/Dec"/>
          <s v="10/Dec"/>
          <s v="11/Dec"/>
          <s v="12/Dec"/>
          <s v="13/Dec"/>
          <s v="14/Dec"/>
          <s v="15/Dec"/>
          <s v="16/Dec"/>
          <s v="17/Dec"/>
          <s v="18/Dec"/>
          <s v="19/Dec"/>
          <s v="20/Dec"/>
          <s v="21/Dec"/>
          <s v="22/Dec"/>
          <s v="23/Dec"/>
          <s v="24/Dec"/>
          <s v="25/Dec"/>
          <s v="26/Dec"/>
          <s v="27/Dec"/>
          <s v="28/Dec"/>
          <s v="29/Dec"/>
          <s v="30/Dec"/>
          <s v="31/Dec"/>
          <s v="&gt;02/03/26"/>
        </groupItems>
      </fieldGroup>
    </cacheField>
    <cacheField name="Months (Data)" numFmtId="0" databaseField="0">
      <fieldGroup base="8">
        <rangePr groupBy="months" startDate="2026-01-01T00:00:00" endDate="2026-03-02T00:00:00"/>
        <groupItems count="14">
          <s v="&lt;01/0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3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x v="0"/>
    <x v="0"/>
    <x v="0"/>
    <x v="0"/>
    <s v="Taxa Condominial"/>
    <n v="33345"/>
    <x v="0"/>
  </r>
  <r>
    <x v="0"/>
    <x v="0"/>
    <x v="0"/>
    <x v="0"/>
    <x v="1"/>
    <s v="Acordo"/>
    <n v="0"/>
    <x v="0"/>
  </r>
  <r>
    <x v="0"/>
    <x v="0"/>
    <x v="1"/>
    <x v="1"/>
    <x v="0"/>
    <s v="Devolução"/>
    <n v="0"/>
    <x v="0"/>
  </r>
  <r>
    <x v="0"/>
    <x v="0"/>
    <x v="1"/>
    <x v="1"/>
    <x v="1"/>
    <s v="Desconto de Pontualidade"/>
    <n v="-3334.5"/>
    <x v="0"/>
  </r>
  <r>
    <x v="0"/>
    <x v="0"/>
    <x v="2"/>
    <x v="2"/>
    <x v="0"/>
    <s v="Rendimento de Investimentos"/>
    <n v="994.48"/>
    <x v="0"/>
  </r>
  <r>
    <x v="0"/>
    <x v="0"/>
    <x v="3"/>
    <x v="3"/>
    <x v="0"/>
    <s v="Juros"/>
    <n v="0"/>
    <x v="0"/>
  </r>
  <r>
    <x v="0"/>
    <x v="0"/>
    <x v="3"/>
    <x v="3"/>
    <x v="1"/>
    <s v="Multa"/>
    <n v="0"/>
    <x v="0"/>
  </r>
  <r>
    <x v="1"/>
    <x v="1"/>
    <x v="0"/>
    <x v="4"/>
    <x v="0"/>
    <s v="Salário"/>
    <n v="7109.65"/>
    <x v="0"/>
  </r>
  <r>
    <x v="1"/>
    <x v="1"/>
    <x v="0"/>
    <x v="4"/>
    <x v="1"/>
    <s v="Férias"/>
    <n v="0"/>
    <x v="0"/>
  </r>
  <r>
    <x v="1"/>
    <x v="1"/>
    <x v="0"/>
    <x v="4"/>
    <x v="2"/>
    <s v="INSS Sobre Folha"/>
    <n v="2675.64"/>
    <x v="0"/>
  </r>
  <r>
    <x v="1"/>
    <x v="1"/>
    <x v="0"/>
    <x v="4"/>
    <x v="3"/>
    <s v="FGTS"/>
    <n v="576.37"/>
    <x v="0"/>
  </r>
  <r>
    <x v="1"/>
    <x v="1"/>
    <x v="0"/>
    <x v="4"/>
    <x v="4"/>
    <s v="Vale Alimentação"/>
    <n v="960"/>
    <x v="0"/>
  </r>
  <r>
    <x v="1"/>
    <x v="1"/>
    <x v="0"/>
    <x v="4"/>
    <x v="5"/>
    <s v="Vale Transporte"/>
    <n v="151.19999999999999"/>
    <x v="0"/>
  </r>
  <r>
    <x v="1"/>
    <x v="1"/>
    <x v="0"/>
    <x v="4"/>
    <x v="6"/>
    <s v="Vale Combustível"/>
    <n v="151.19999999999999"/>
    <x v="0"/>
  </r>
  <r>
    <x v="1"/>
    <x v="1"/>
    <x v="0"/>
    <x v="4"/>
    <x v="7"/>
    <s v="Pensão Alimentícia"/>
    <n v="527"/>
    <x v="0"/>
  </r>
  <r>
    <x v="1"/>
    <x v="1"/>
    <x v="0"/>
    <x v="4"/>
    <x v="8"/>
    <s v="Pis Sobre Folha"/>
    <n v="72.040000000000006"/>
    <x v="0"/>
  </r>
  <r>
    <x v="1"/>
    <x v="1"/>
    <x v="0"/>
    <x v="4"/>
    <x v="9"/>
    <s v="FGTS sobre 13 Salário"/>
    <n v="240.27"/>
    <x v="0"/>
  </r>
  <r>
    <x v="1"/>
    <x v="1"/>
    <x v="0"/>
    <x v="4"/>
    <x v="10"/>
    <s v="Portaria Virtual"/>
    <n v="2800"/>
    <x v="0"/>
  </r>
  <r>
    <x v="1"/>
    <x v="1"/>
    <x v="1"/>
    <x v="5"/>
    <x v="0"/>
    <s v="Energia"/>
    <n v="1317.83"/>
    <x v="0"/>
  </r>
  <r>
    <x v="1"/>
    <x v="1"/>
    <x v="1"/>
    <x v="5"/>
    <x v="1"/>
    <s v="Agua e Esgoto"/>
    <n v="4944.16"/>
    <x v="0"/>
  </r>
  <r>
    <x v="1"/>
    <x v="1"/>
    <x v="1"/>
    <x v="5"/>
    <x v="2"/>
    <s v="Telefone Móvel"/>
    <n v="124.99"/>
    <x v="0"/>
  </r>
  <r>
    <x v="1"/>
    <x v="1"/>
    <x v="2"/>
    <x v="6"/>
    <x v="0"/>
    <s v="Manutenção de Elevadores"/>
    <n v="650"/>
    <x v="0"/>
  </r>
  <r>
    <x v="1"/>
    <x v="1"/>
    <x v="2"/>
    <x v="6"/>
    <x v="1"/>
    <s v="Substituição de Peças"/>
    <n v="0"/>
    <x v="0"/>
  </r>
  <r>
    <x v="1"/>
    <x v="1"/>
    <x v="3"/>
    <x v="7"/>
    <x v="0"/>
    <s v="Seguro Predial"/>
    <n v="349.33"/>
    <x v="0"/>
  </r>
  <r>
    <x v="1"/>
    <x v="1"/>
    <x v="4"/>
    <x v="8"/>
    <x v="0"/>
    <s v="Parcelamento INSS"/>
    <n v="567.45000000000005"/>
    <x v="0"/>
  </r>
  <r>
    <x v="1"/>
    <x v="1"/>
    <x v="4"/>
    <x v="8"/>
    <x v="1"/>
    <s v="Impostos Sobre Investimentos"/>
    <n v="0.1"/>
    <x v="0"/>
  </r>
  <r>
    <x v="1"/>
    <x v="1"/>
    <x v="5"/>
    <x v="9"/>
    <x v="0"/>
    <s v="Aquisição de Piscina"/>
    <n v="66.44"/>
    <x v="0"/>
  </r>
  <r>
    <x v="1"/>
    <x v="1"/>
    <x v="6"/>
    <x v="10"/>
    <x v="0"/>
    <s v="Anuidade"/>
    <n v="22"/>
    <x v="0"/>
  </r>
  <r>
    <x v="1"/>
    <x v="1"/>
    <x v="6"/>
    <x v="10"/>
    <x v="1"/>
    <s v="Débito Indevido"/>
    <n v="0"/>
    <x v="0"/>
  </r>
  <r>
    <x v="1"/>
    <x v="1"/>
    <x v="7"/>
    <x v="11"/>
    <x v="0"/>
    <s v="Taxa de Administração"/>
    <n v="1239.07"/>
    <x v="0"/>
  </r>
  <r>
    <x v="1"/>
    <x v="1"/>
    <x v="7"/>
    <x v="11"/>
    <x v="1"/>
    <s v="Cópias"/>
    <n v="2.5"/>
    <x v="0"/>
  </r>
  <r>
    <x v="1"/>
    <x v="1"/>
    <x v="7"/>
    <x v="11"/>
    <x v="2"/>
    <s v="Encadernação"/>
    <n v="9"/>
    <x v="0"/>
  </r>
  <r>
    <x v="1"/>
    <x v="1"/>
    <x v="7"/>
    <x v="11"/>
    <x v="3"/>
    <s v="Despesas com Cartório"/>
    <n v="0"/>
    <x v="0"/>
  </r>
  <r>
    <x v="1"/>
    <x v="1"/>
    <x v="7"/>
    <x v="11"/>
    <x v="4"/>
    <s v="Titulo de Capitalização"/>
    <n v="200"/>
    <x v="0"/>
  </r>
  <r>
    <x v="1"/>
    <x v="1"/>
    <x v="8"/>
    <x v="12"/>
    <x v="0"/>
    <s v="Serviços Prestados ao Condomínio"/>
    <n v="0"/>
    <x v="0"/>
  </r>
  <r>
    <x v="1"/>
    <x v="1"/>
    <x v="8"/>
    <x v="12"/>
    <x v="1"/>
    <s v="Serviço de Pedreiro"/>
    <n v="300"/>
    <x v="0"/>
  </r>
  <r>
    <x v="1"/>
    <x v="1"/>
    <x v="8"/>
    <x v="12"/>
    <x v="2"/>
    <s v="Serviço de Elaboração de Projetos"/>
    <n v="0"/>
    <x v="0"/>
  </r>
  <r>
    <x v="1"/>
    <x v="1"/>
    <x v="8"/>
    <x v="12"/>
    <x v="3"/>
    <s v="Serviço Elétrico"/>
    <n v="94.33"/>
    <x v="0"/>
  </r>
  <r>
    <x v="1"/>
    <x v="1"/>
    <x v="8"/>
    <x v="12"/>
    <x v="4"/>
    <s v="Serviço Hidráulico"/>
    <n v="130"/>
    <x v="0"/>
  </r>
  <r>
    <x v="1"/>
    <x v="1"/>
    <x v="9"/>
    <x v="13"/>
    <x v="0"/>
    <s v="Material de Limpeza"/>
    <n v="178.9"/>
    <x v="0"/>
  </r>
  <r>
    <x v="1"/>
    <x v="1"/>
    <x v="9"/>
    <x v="13"/>
    <x v="1"/>
    <s v="Material Elétrico e Hidráulico"/>
    <n v="157.80000000000001"/>
    <x v="0"/>
  </r>
  <r>
    <x v="1"/>
    <x v="1"/>
    <x v="9"/>
    <x v="13"/>
    <x v="2"/>
    <s v="Material de Pintura"/>
    <n v="297.39"/>
    <x v="0"/>
  </r>
  <r>
    <x v="1"/>
    <x v="1"/>
    <x v="9"/>
    <x v="13"/>
    <x v="3"/>
    <s v="Material de Construção"/>
    <n v="326.75"/>
    <x v="0"/>
  </r>
  <r>
    <x v="1"/>
    <x v="1"/>
    <x v="9"/>
    <x v="13"/>
    <x v="4"/>
    <s v="Material Para Manutenção"/>
    <n v="137.6"/>
    <x v="0"/>
  </r>
  <r>
    <x v="1"/>
    <x v="1"/>
    <x v="9"/>
    <x v="13"/>
    <x v="5"/>
    <s v="Material Para Sinalização"/>
    <n v="55"/>
    <x v="0"/>
  </r>
  <r>
    <x v="1"/>
    <x v="1"/>
    <x v="9"/>
    <x v="13"/>
    <x v="6"/>
    <s v="Material Para Piscina"/>
    <n v="0"/>
    <x v="0"/>
  </r>
  <r>
    <x v="1"/>
    <x v="1"/>
    <x v="9"/>
    <x v="13"/>
    <x v="7"/>
    <s v="Material Elétrico"/>
    <n v="53.35"/>
    <x v="0"/>
  </r>
  <r>
    <x v="1"/>
    <x v="1"/>
    <x v="9"/>
    <x v="13"/>
    <x v="8"/>
    <s v="Material Hidráulico"/>
    <n v="0"/>
    <x v="0"/>
  </r>
  <r>
    <x v="1"/>
    <x v="1"/>
    <x v="10"/>
    <x v="3"/>
    <x v="0"/>
    <s v="Tarifa Bancária"/>
    <n v="6"/>
    <x v="0"/>
  </r>
  <r>
    <x v="0"/>
    <x v="0"/>
    <x v="0"/>
    <x v="0"/>
    <x v="0"/>
    <s v="Taxa Condominial"/>
    <n v="28899"/>
    <x v="1"/>
  </r>
  <r>
    <x v="0"/>
    <x v="0"/>
    <x v="0"/>
    <x v="0"/>
    <x v="1"/>
    <s v="Acordo"/>
    <n v="0"/>
    <x v="1"/>
  </r>
  <r>
    <x v="0"/>
    <x v="0"/>
    <x v="1"/>
    <x v="1"/>
    <x v="0"/>
    <s v="Devolução"/>
    <n v="0"/>
    <x v="1"/>
  </r>
  <r>
    <x v="0"/>
    <x v="0"/>
    <x v="1"/>
    <x v="1"/>
    <x v="1"/>
    <s v="Desconto de Pontualidade"/>
    <n v="-2667.6"/>
    <x v="1"/>
  </r>
  <r>
    <x v="0"/>
    <x v="0"/>
    <x v="2"/>
    <x v="2"/>
    <x v="0"/>
    <s v="Rendimento de Investimentos"/>
    <n v="287.45"/>
    <x v="1"/>
  </r>
  <r>
    <x v="0"/>
    <x v="0"/>
    <x v="3"/>
    <x v="3"/>
    <x v="0"/>
    <s v="Juros"/>
    <n v="2.19"/>
    <x v="1"/>
  </r>
  <r>
    <x v="0"/>
    <x v="0"/>
    <x v="3"/>
    <x v="3"/>
    <x v="1"/>
    <s v="Multa"/>
    <n v="44.46"/>
    <x v="1"/>
  </r>
  <r>
    <x v="1"/>
    <x v="1"/>
    <x v="0"/>
    <x v="4"/>
    <x v="0"/>
    <s v="Salário"/>
    <n v="6585.35"/>
    <x v="1"/>
  </r>
  <r>
    <x v="1"/>
    <x v="1"/>
    <x v="0"/>
    <x v="4"/>
    <x v="1"/>
    <s v="Férias"/>
    <n v="1691.16"/>
    <x v="1"/>
  </r>
  <r>
    <x v="1"/>
    <x v="1"/>
    <x v="0"/>
    <x v="4"/>
    <x v="2"/>
    <s v="INSS Sobre Folha"/>
    <n v="2816.97"/>
    <x v="1"/>
  </r>
  <r>
    <x v="1"/>
    <x v="1"/>
    <x v="0"/>
    <x v="4"/>
    <x v="3"/>
    <s v="FGTS"/>
    <n v="567.29"/>
    <x v="1"/>
  </r>
  <r>
    <x v="1"/>
    <x v="1"/>
    <x v="0"/>
    <x v="4"/>
    <x v="4"/>
    <s v="Vale Alimentação"/>
    <n v="620"/>
    <x v="1"/>
  </r>
  <r>
    <x v="1"/>
    <x v="1"/>
    <x v="0"/>
    <x v="4"/>
    <x v="5"/>
    <s v="Vale Transporte"/>
    <n v="162"/>
    <x v="1"/>
  </r>
  <r>
    <x v="1"/>
    <x v="1"/>
    <x v="0"/>
    <x v="4"/>
    <x v="6"/>
    <s v="Vale Combustível"/>
    <n v="172.8"/>
    <x v="1"/>
  </r>
  <r>
    <x v="1"/>
    <x v="1"/>
    <x v="0"/>
    <x v="4"/>
    <x v="7"/>
    <s v="Pensão Alimentícia"/>
    <n v="1003.99"/>
    <x v="1"/>
  </r>
  <r>
    <x v="1"/>
    <x v="1"/>
    <x v="0"/>
    <x v="4"/>
    <x v="8"/>
    <s v="Pis Sobre Folha"/>
    <n v="76.239999999999995"/>
    <x v="1"/>
  </r>
  <r>
    <x v="1"/>
    <x v="1"/>
    <x v="0"/>
    <x v="4"/>
    <x v="9"/>
    <s v="FGTS sobre 13 Salário"/>
    <n v="0"/>
    <x v="1"/>
  </r>
  <r>
    <x v="1"/>
    <x v="1"/>
    <x v="0"/>
    <x v="4"/>
    <x v="10"/>
    <s v="Portaria Virtual"/>
    <n v="2800"/>
    <x v="1"/>
  </r>
  <r>
    <x v="1"/>
    <x v="1"/>
    <x v="1"/>
    <x v="5"/>
    <x v="0"/>
    <s v="Energia"/>
    <n v="1181.18"/>
    <x v="1"/>
  </r>
  <r>
    <x v="1"/>
    <x v="1"/>
    <x v="1"/>
    <x v="5"/>
    <x v="1"/>
    <s v="Agua e Esgoto"/>
    <n v="6226.24"/>
    <x v="1"/>
  </r>
  <r>
    <x v="1"/>
    <x v="1"/>
    <x v="1"/>
    <x v="5"/>
    <x v="2"/>
    <s v="Telefone Móvel"/>
    <n v="124.99"/>
    <x v="1"/>
  </r>
  <r>
    <x v="1"/>
    <x v="1"/>
    <x v="2"/>
    <x v="6"/>
    <x v="0"/>
    <s v="Manutenção de Elevadores"/>
    <n v="650"/>
    <x v="1"/>
  </r>
  <r>
    <x v="1"/>
    <x v="1"/>
    <x v="2"/>
    <x v="6"/>
    <x v="1"/>
    <s v="Substituição de Peças"/>
    <n v="1010"/>
    <x v="1"/>
  </r>
  <r>
    <x v="1"/>
    <x v="1"/>
    <x v="3"/>
    <x v="7"/>
    <x v="0"/>
    <s v="Seguro Predial"/>
    <n v="349.31"/>
    <x v="1"/>
  </r>
  <r>
    <x v="1"/>
    <x v="1"/>
    <x v="4"/>
    <x v="8"/>
    <x v="0"/>
    <s v="Parcelamento INSS"/>
    <n v="573.35"/>
    <x v="1"/>
  </r>
  <r>
    <x v="1"/>
    <x v="1"/>
    <x v="4"/>
    <x v="8"/>
    <x v="1"/>
    <s v="Impostos Sobre Investimentos"/>
    <n v="1.8"/>
    <x v="1"/>
  </r>
  <r>
    <x v="1"/>
    <x v="1"/>
    <x v="5"/>
    <x v="9"/>
    <x v="0"/>
    <s v="Aquisição de Piscina"/>
    <n v="66.430000000000007"/>
    <x v="1"/>
  </r>
  <r>
    <x v="1"/>
    <x v="1"/>
    <x v="6"/>
    <x v="10"/>
    <x v="0"/>
    <s v="Anuidade"/>
    <n v="22"/>
    <x v="1"/>
  </r>
  <r>
    <x v="1"/>
    <x v="1"/>
    <x v="6"/>
    <x v="10"/>
    <x v="1"/>
    <s v="Débito Indevido"/>
    <n v="16.86"/>
    <x v="1"/>
  </r>
  <r>
    <x v="1"/>
    <x v="1"/>
    <x v="7"/>
    <x v="11"/>
    <x v="0"/>
    <s v="Taxa de Administração"/>
    <n v="1239.07"/>
    <x v="1"/>
  </r>
  <r>
    <x v="1"/>
    <x v="1"/>
    <x v="7"/>
    <x v="11"/>
    <x v="1"/>
    <s v="Cópias"/>
    <n v="0"/>
    <x v="1"/>
  </r>
  <r>
    <x v="1"/>
    <x v="1"/>
    <x v="7"/>
    <x v="11"/>
    <x v="2"/>
    <s v="Encadernação"/>
    <n v="0"/>
    <x v="1"/>
  </r>
  <r>
    <x v="1"/>
    <x v="1"/>
    <x v="7"/>
    <x v="11"/>
    <x v="3"/>
    <s v="Despesas com Cartório"/>
    <n v="0"/>
    <x v="1"/>
  </r>
  <r>
    <x v="1"/>
    <x v="1"/>
    <x v="7"/>
    <x v="11"/>
    <x v="4"/>
    <s v="Titulo de Capitalização"/>
    <n v="200"/>
    <x v="1"/>
  </r>
  <r>
    <x v="1"/>
    <x v="1"/>
    <x v="8"/>
    <x v="12"/>
    <x v="0"/>
    <s v="Serviços Prestados ao Condomínio"/>
    <n v="700"/>
    <x v="1"/>
  </r>
  <r>
    <x v="1"/>
    <x v="1"/>
    <x v="8"/>
    <x v="12"/>
    <x v="1"/>
    <s v="Serviço de Pedreiro"/>
    <n v="0"/>
    <x v="1"/>
  </r>
  <r>
    <x v="1"/>
    <x v="1"/>
    <x v="8"/>
    <x v="12"/>
    <x v="2"/>
    <s v="Serviço de Elaboração de Projetos"/>
    <n v="300"/>
    <x v="1"/>
  </r>
  <r>
    <x v="1"/>
    <x v="1"/>
    <x v="8"/>
    <x v="12"/>
    <x v="3"/>
    <s v="Serviço Elétrico"/>
    <n v="94.32"/>
    <x v="1"/>
  </r>
  <r>
    <x v="1"/>
    <x v="1"/>
    <x v="8"/>
    <x v="12"/>
    <x v="4"/>
    <s v="Serviço Hidráulico"/>
    <n v="0"/>
    <x v="1"/>
  </r>
  <r>
    <x v="1"/>
    <x v="1"/>
    <x v="9"/>
    <x v="13"/>
    <x v="0"/>
    <s v="Material de Limpeza"/>
    <n v="126.5"/>
    <x v="1"/>
  </r>
  <r>
    <x v="1"/>
    <x v="1"/>
    <x v="9"/>
    <x v="13"/>
    <x v="1"/>
    <s v="Material Elétrico e Hidráulico"/>
    <n v="103.2"/>
    <x v="1"/>
  </r>
  <r>
    <x v="1"/>
    <x v="1"/>
    <x v="9"/>
    <x v="13"/>
    <x v="2"/>
    <s v="Material de Pintura"/>
    <n v="156.78"/>
    <x v="1"/>
  </r>
  <r>
    <x v="1"/>
    <x v="1"/>
    <x v="9"/>
    <x v="13"/>
    <x v="3"/>
    <s v="Material de Construção"/>
    <n v="217.55"/>
    <x v="1"/>
  </r>
  <r>
    <x v="1"/>
    <x v="1"/>
    <x v="9"/>
    <x v="13"/>
    <x v="4"/>
    <s v="Material Para Manutenção"/>
    <n v="45.8"/>
    <x v="1"/>
  </r>
  <r>
    <x v="1"/>
    <x v="1"/>
    <x v="9"/>
    <x v="13"/>
    <x v="5"/>
    <s v="Material Para Sinalização"/>
    <n v="0"/>
    <x v="1"/>
  </r>
  <r>
    <x v="1"/>
    <x v="1"/>
    <x v="9"/>
    <x v="13"/>
    <x v="6"/>
    <s v="Material Para Piscina"/>
    <n v="265.33999999999997"/>
    <x v="1"/>
  </r>
  <r>
    <x v="1"/>
    <x v="1"/>
    <x v="9"/>
    <x v="13"/>
    <x v="7"/>
    <s v="Material Elétrico"/>
    <n v="0"/>
    <x v="1"/>
  </r>
  <r>
    <x v="1"/>
    <x v="1"/>
    <x v="9"/>
    <x v="13"/>
    <x v="8"/>
    <s v="Material Hidráulico"/>
    <n v="240.18"/>
    <x v="1"/>
  </r>
  <r>
    <x v="1"/>
    <x v="1"/>
    <x v="10"/>
    <x v="3"/>
    <x v="0"/>
    <s v="Tarifa Bancária"/>
    <n v="27.68"/>
    <x v="1"/>
  </r>
  <r>
    <x v="0"/>
    <x v="0"/>
    <x v="0"/>
    <x v="0"/>
    <x v="0"/>
    <s v="Taxa Condominial"/>
    <n v="31122"/>
    <x v="2"/>
  </r>
  <r>
    <x v="0"/>
    <x v="0"/>
    <x v="0"/>
    <x v="0"/>
    <x v="1"/>
    <s v="Acordo"/>
    <n v="2223"/>
    <x v="2"/>
  </r>
  <r>
    <x v="0"/>
    <x v="0"/>
    <x v="1"/>
    <x v="1"/>
    <x v="0"/>
    <s v="Devolução"/>
    <n v="1404.26"/>
    <x v="2"/>
  </r>
  <r>
    <x v="0"/>
    <x v="0"/>
    <x v="1"/>
    <x v="1"/>
    <x v="1"/>
    <s v="Desconto de Pontualidade"/>
    <n v="-3112.2"/>
    <x v="2"/>
  </r>
  <r>
    <x v="0"/>
    <x v="0"/>
    <x v="2"/>
    <x v="2"/>
    <x v="0"/>
    <s v="Rendimento de Investimentos"/>
    <n v="348.91"/>
    <x v="2"/>
  </r>
  <r>
    <x v="0"/>
    <x v="0"/>
    <x v="3"/>
    <x v="3"/>
    <x v="0"/>
    <s v="Juros"/>
    <n v="26.28"/>
    <x v="2"/>
  </r>
  <r>
    <x v="0"/>
    <x v="0"/>
    <x v="3"/>
    <x v="3"/>
    <x v="1"/>
    <s v="Multa"/>
    <n v="44.46"/>
    <x v="2"/>
  </r>
  <r>
    <x v="1"/>
    <x v="1"/>
    <x v="0"/>
    <x v="4"/>
    <x v="0"/>
    <s v="Salário"/>
    <n v="7176.24"/>
    <x v="2"/>
  </r>
  <r>
    <x v="1"/>
    <x v="1"/>
    <x v="0"/>
    <x v="4"/>
    <x v="1"/>
    <s v="Férias"/>
    <n v="0"/>
    <x v="2"/>
  </r>
  <r>
    <x v="1"/>
    <x v="1"/>
    <x v="0"/>
    <x v="4"/>
    <x v="2"/>
    <s v="INSS Sobre Folha"/>
    <n v="2737.81"/>
    <x v="2"/>
  </r>
  <r>
    <x v="1"/>
    <x v="1"/>
    <x v="0"/>
    <x v="4"/>
    <x v="3"/>
    <s v="FGTS"/>
    <n v="525.52"/>
    <x v="2"/>
  </r>
  <r>
    <x v="1"/>
    <x v="1"/>
    <x v="0"/>
    <x v="4"/>
    <x v="4"/>
    <s v="Vale Alimentação"/>
    <n v="1400"/>
    <x v="2"/>
  </r>
  <r>
    <x v="1"/>
    <x v="1"/>
    <x v="0"/>
    <x v="4"/>
    <x v="5"/>
    <s v="Vale Transporte"/>
    <n v="324"/>
    <x v="2"/>
  </r>
  <r>
    <x v="1"/>
    <x v="1"/>
    <x v="0"/>
    <x v="4"/>
    <x v="6"/>
    <s v="Vale Combustível"/>
    <n v="0"/>
    <x v="2"/>
  </r>
  <r>
    <x v="1"/>
    <x v="1"/>
    <x v="0"/>
    <x v="4"/>
    <x v="7"/>
    <s v="Pensão Alimentícia"/>
    <n v="11.79"/>
    <x v="2"/>
  </r>
  <r>
    <x v="1"/>
    <x v="1"/>
    <x v="0"/>
    <x v="4"/>
    <x v="8"/>
    <s v="Pis Sobre Folha"/>
    <n v="0"/>
    <x v="2"/>
  </r>
  <r>
    <x v="1"/>
    <x v="1"/>
    <x v="0"/>
    <x v="4"/>
    <x v="9"/>
    <s v="FGTS sobre 13 Salário"/>
    <n v="0"/>
    <x v="2"/>
  </r>
  <r>
    <x v="1"/>
    <x v="1"/>
    <x v="0"/>
    <x v="4"/>
    <x v="10"/>
    <s v="Portaria Virtual"/>
    <n v="2800"/>
    <x v="2"/>
  </r>
  <r>
    <x v="1"/>
    <x v="1"/>
    <x v="1"/>
    <x v="5"/>
    <x v="0"/>
    <s v="Energia"/>
    <n v="1111.0999999999999"/>
    <x v="2"/>
  </r>
  <r>
    <x v="1"/>
    <x v="1"/>
    <x v="1"/>
    <x v="5"/>
    <x v="1"/>
    <s v="Agua e Esgoto"/>
    <n v="5798.88"/>
    <x v="2"/>
  </r>
  <r>
    <x v="1"/>
    <x v="1"/>
    <x v="1"/>
    <x v="5"/>
    <x v="2"/>
    <s v="Telefone Móvel"/>
    <n v="128.5"/>
    <x v="2"/>
  </r>
  <r>
    <x v="1"/>
    <x v="1"/>
    <x v="2"/>
    <x v="6"/>
    <x v="0"/>
    <s v="Manutenção de Elevadores"/>
    <n v="650"/>
    <x v="2"/>
  </r>
  <r>
    <x v="1"/>
    <x v="1"/>
    <x v="2"/>
    <x v="6"/>
    <x v="1"/>
    <s v="Substituição de Peças"/>
    <n v="0"/>
    <x v="2"/>
  </r>
  <r>
    <x v="1"/>
    <x v="1"/>
    <x v="3"/>
    <x v="7"/>
    <x v="0"/>
    <s v="Seguro Predial"/>
    <n v="0"/>
    <x v="2"/>
  </r>
  <r>
    <x v="1"/>
    <x v="1"/>
    <x v="4"/>
    <x v="8"/>
    <x v="0"/>
    <s v="Parcelamento INSS"/>
    <n v="578.44000000000005"/>
    <x v="2"/>
  </r>
  <r>
    <x v="1"/>
    <x v="1"/>
    <x v="4"/>
    <x v="8"/>
    <x v="1"/>
    <s v="Impostos Sobre Investimentos"/>
    <n v="0.02"/>
    <x v="2"/>
  </r>
  <r>
    <x v="1"/>
    <x v="1"/>
    <x v="5"/>
    <x v="9"/>
    <x v="0"/>
    <s v="Aquisição de Piscina"/>
    <n v="66.430000000000007"/>
    <x v="2"/>
  </r>
  <r>
    <x v="1"/>
    <x v="1"/>
    <x v="6"/>
    <x v="10"/>
    <x v="0"/>
    <s v="Anuidade"/>
    <n v="22"/>
    <x v="2"/>
  </r>
  <r>
    <x v="1"/>
    <x v="1"/>
    <x v="6"/>
    <x v="10"/>
    <x v="1"/>
    <s v="Débito Indevido"/>
    <n v="0"/>
    <x v="2"/>
  </r>
  <r>
    <x v="1"/>
    <x v="1"/>
    <x v="7"/>
    <x v="11"/>
    <x v="0"/>
    <s v="Taxa de Administração"/>
    <n v="1239.07"/>
    <x v="2"/>
  </r>
  <r>
    <x v="1"/>
    <x v="1"/>
    <x v="7"/>
    <x v="11"/>
    <x v="1"/>
    <s v="Cópias"/>
    <n v="0"/>
    <x v="2"/>
  </r>
  <r>
    <x v="1"/>
    <x v="1"/>
    <x v="7"/>
    <x v="11"/>
    <x v="2"/>
    <s v="Encadernação"/>
    <n v="0"/>
    <x v="2"/>
  </r>
  <r>
    <x v="1"/>
    <x v="1"/>
    <x v="7"/>
    <x v="11"/>
    <x v="3"/>
    <s v="Despesas com Cartório"/>
    <n v="149.85"/>
    <x v="2"/>
  </r>
  <r>
    <x v="1"/>
    <x v="1"/>
    <x v="7"/>
    <x v="11"/>
    <x v="4"/>
    <s v="Titulo de Capitalização"/>
    <n v="200"/>
    <x v="2"/>
  </r>
  <r>
    <x v="1"/>
    <x v="1"/>
    <x v="8"/>
    <x v="12"/>
    <x v="0"/>
    <s v="Serviços Prestados ao Condomínio"/>
    <n v="300"/>
    <x v="2"/>
  </r>
  <r>
    <x v="1"/>
    <x v="1"/>
    <x v="8"/>
    <x v="12"/>
    <x v="1"/>
    <s v="Serviço de Pedreiro"/>
    <n v="0"/>
    <x v="2"/>
  </r>
  <r>
    <x v="1"/>
    <x v="1"/>
    <x v="8"/>
    <x v="12"/>
    <x v="2"/>
    <s v="Serviço de Elaboração de Projetos"/>
    <n v="0"/>
    <x v="2"/>
  </r>
  <r>
    <x v="1"/>
    <x v="1"/>
    <x v="8"/>
    <x v="12"/>
    <x v="3"/>
    <s v="Serviço Elétrico"/>
    <n v="94.32"/>
    <x v="2"/>
  </r>
  <r>
    <x v="1"/>
    <x v="1"/>
    <x v="8"/>
    <x v="12"/>
    <x v="4"/>
    <s v="Serviço Hidráulico"/>
    <n v="0"/>
    <x v="2"/>
  </r>
  <r>
    <x v="1"/>
    <x v="1"/>
    <x v="9"/>
    <x v="13"/>
    <x v="0"/>
    <s v="Material de Limpeza"/>
    <n v="103.6"/>
    <x v="2"/>
  </r>
  <r>
    <x v="1"/>
    <x v="1"/>
    <x v="9"/>
    <x v="13"/>
    <x v="1"/>
    <s v="Material Elétrico e Hidráulico"/>
    <n v="0"/>
    <x v="2"/>
  </r>
  <r>
    <x v="1"/>
    <x v="1"/>
    <x v="9"/>
    <x v="13"/>
    <x v="2"/>
    <s v="Material de Pintura"/>
    <n v="53.26"/>
    <x v="2"/>
  </r>
  <r>
    <x v="1"/>
    <x v="1"/>
    <x v="9"/>
    <x v="13"/>
    <x v="3"/>
    <s v="Material de Construção"/>
    <n v="161.76"/>
    <x v="2"/>
  </r>
  <r>
    <x v="1"/>
    <x v="1"/>
    <x v="9"/>
    <x v="13"/>
    <x v="4"/>
    <s v="Material Para Manutenção"/>
    <n v="75.34"/>
    <x v="2"/>
  </r>
  <r>
    <x v="1"/>
    <x v="1"/>
    <x v="9"/>
    <x v="13"/>
    <x v="5"/>
    <s v="Material Para Sinalização"/>
    <n v="0"/>
    <x v="2"/>
  </r>
  <r>
    <x v="1"/>
    <x v="1"/>
    <x v="9"/>
    <x v="13"/>
    <x v="6"/>
    <s v="Material Para Piscina"/>
    <n v="317.70999999999998"/>
    <x v="2"/>
  </r>
  <r>
    <x v="1"/>
    <x v="1"/>
    <x v="9"/>
    <x v="13"/>
    <x v="7"/>
    <s v="Material Elétrico"/>
    <n v="0"/>
    <x v="2"/>
  </r>
  <r>
    <x v="1"/>
    <x v="1"/>
    <x v="9"/>
    <x v="13"/>
    <x v="8"/>
    <s v="Material Hidráulico"/>
    <n v="122.1"/>
    <x v="2"/>
  </r>
  <r>
    <x v="1"/>
    <x v="1"/>
    <x v="10"/>
    <x v="3"/>
    <x v="0"/>
    <s v="Tarifa Bancária"/>
    <n v="41.85"/>
    <x v="2"/>
  </r>
  <r>
    <x v="2"/>
    <x v="2"/>
    <x v="11"/>
    <x v="14"/>
    <x v="11"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n v="1"/>
    <s v="Receitas"/>
    <n v="1"/>
    <x v="0"/>
    <n v="1"/>
    <x v="0"/>
    <n v="33345"/>
    <x v="0"/>
  </r>
  <r>
    <x v="0"/>
    <n v="1"/>
    <s v="Receitas"/>
    <n v="1"/>
    <x v="0"/>
    <n v="2"/>
    <x v="1"/>
    <n v="0"/>
    <x v="0"/>
  </r>
  <r>
    <x v="0"/>
    <n v="1"/>
    <s v="Receitas"/>
    <n v="2"/>
    <x v="1"/>
    <n v="1"/>
    <x v="2"/>
    <n v="0"/>
    <x v="0"/>
  </r>
  <r>
    <x v="0"/>
    <n v="1"/>
    <s v="Receitas"/>
    <n v="2"/>
    <x v="1"/>
    <n v="2"/>
    <x v="3"/>
    <n v="-3334.5"/>
    <x v="0"/>
  </r>
  <r>
    <x v="0"/>
    <n v="1"/>
    <s v="Receitas"/>
    <n v="3"/>
    <x v="2"/>
    <n v="1"/>
    <x v="4"/>
    <n v="994.48"/>
    <x v="0"/>
  </r>
  <r>
    <x v="0"/>
    <n v="1"/>
    <s v="Receitas"/>
    <n v="4"/>
    <x v="3"/>
    <n v="1"/>
    <x v="5"/>
    <n v="0"/>
    <x v="0"/>
  </r>
  <r>
    <x v="0"/>
    <n v="1"/>
    <s v="Receitas"/>
    <n v="4"/>
    <x v="3"/>
    <n v="2"/>
    <x v="6"/>
    <n v="0"/>
    <x v="0"/>
  </r>
  <r>
    <x v="1"/>
    <n v="2"/>
    <s v="Despesas"/>
    <n v="1"/>
    <x v="4"/>
    <n v="1"/>
    <x v="7"/>
    <n v="7109.65"/>
    <x v="0"/>
  </r>
  <r>
    <x v="1"/>
    <n v="2"/>
    <s v="Despesas"/>
    <n v="1"/>
    <x v="4"/>
    <n v="2"/>
    <x v="8"/>
    <n v="0"/>
    <x v="0"/>
  </r>
  <r>
    <x v="1"/>
    <n v="2"/>
    <s v="Despesas"/>
    <n v="1"/>
    <x v="4"/>
    <n v="3"/>
    <x v="9"/>
    <n v="2675.64"/>
    <x v="0"/>
  </r>
  <r>
    <x v="1"/>
    <n v="2"/>
    <s v="Despesas"/>
    <n v="1"/>
    <x v="4"/>
    <n v="4"/>
    <x v="10"/>
    <n v="576.37"/>
    <x v="0"/>
  </r>
  <r>
    <x v="1"/>
    <n v="2"/>
    <s v="Despesas"/>
    <n v="1"/>
    <x v="4"/>
    <n v="5"/>
    <x v="11"/>
    <n v="960"/>
    <x v="0"/>
  </r>
  <r>
    <x v="1"/>
    <n v="2"/>
    <s v="Despesas"/>
    <n v="1"/>
    <x v="4"/>
    <n v="6"/>
    <x v="12"/>
    <n v="151.19999999999999"/>
    <x v="0"/>
  </r>
  <r>
    <x v="1"/>
    <n v="2"/>
    <s v="Despesas"/>
    <n v="1"/>
    <x v="4"/>
    <n v="7"/>
    <x v="13"/>
    <n v="151.19999999999999"/>
    <x v="0"/>
  </r>
  <r>
    <x v="1"/>
    <n v="2"/>
    <s v="Despesas"/>
    <n v="1"/>
    <x v="4"/>
    <n v="8"/>
    <x v="14"/>
    <n v="527"/>
    <x v="0"/>
  </r>
  <r>
    <x v="1"/>
    <n v="2"/>
    <s v="Despesas"/>
    <n v="1"/>
    <x v="4"/>
    <n v="9"/>
    <x v="15"/>
    <n v="72.040000000000006"/>
    <x v="0"/>
  </r>
  <r>
    <x v="1"/>
    <n v="2"/>
    <s v="Despesas"/>
    <n v="1"/>
    <x v="4"/>
    <n v="10"/>
    <x v="16"/>
    <n v="240.27"/>
    <x v="0"/>
  </r>
  <r>
    <x v="1"/>
    <n v="2"/>
    <s v="Despesas"/>
    <n v="1"/>
    <x v="4"/>
    <n v="11"/>
    <x v="17"/>
    <n v="2800"/>
    <x v="0"/>
  </r>
  <r>
    <x v="1"/>
    <n v="2"/>
    <s v="Despesas"/>
    <n v="2"/>
    <x v="5"/>
    <n v="1"/>
    <x v="18"/>
    <n v="1317.83"/>
    <x v="0"/>
  </r>
  <r>
    <x v="1"/>
    <n v="2"/>
    <s v="Despesas"/>
    <n v="2"/>
    <x v="5"/>
    <n v="2"/>
    <x v="19"/>
    <n v="4944.16"/>
    <x v="0"/>
  </r>
  <r>
    <x v="1"/>
    <n v="2"/>
    <s v="Despesas"/>
    <n v="2"/>
    <x v="5"/>
    <n v="3"/>
    <x v="20"/>
    <n v="124.99"/>
    <x v="0"/>
  </r>
  <r>
    <x v="1"/>
    <n v="2"/>
    <s v="Despesas"/>
    <n v="3"/>
    <x v="6"/>
    <n v="1"/>
    <x v="21"/>
    <n v="650"/>
    <x v="0"/>
  </r>
  <r>
    <x v="1"/>
    <n v="2"/>
    <s v="Despesas"/>
    <n v="3"/>
    <x v="6"/>
    <n v="2"/>
    <x v="22"/>
    <n v="0"/>
    <x v="0"/>
  </r>
  <r>
    <x v="1"/>
    <n v="2"/>
    <s v="Despesas"/>
    <n v="4"/>
    <x v="7"/>
    <n v="1"/>
    <x v="23"/>
    <n v="349.33"/>
    <x v="0"/>
  </r>
  <r>
    <x v="1"/>
    <n v="2"/>
    <s v="Despesas"/>
    <n v="5"/>
    <x v="8"/>
    <n v="1"/>
    <x v="24"/>
    <n v="567.45000000000005"/>
    <x v="0"/>
  </r>
  <r>
    <x v="1"/>
    <n v="2"/>
    <s v="Despesas"/>
    <n v="5"/>
    <x v="8"/>
    <n v="2"/>
    <x v="25"/>
    <n v="0.1"/>
    <x v="0"/>
  </r>
  <r>
    <x v="1"/>
    <n v="2"/>
    <s v="Despesas"/>
    <n v="6"/>
    <x v="9"/>
    <n v="1"/>
    <x v="26"/>
    <n v="66.44"/>
    <x v="0"/>
  </r>
  <r>
    <x v="1"/>
    <n v="2"/>
    <s v="Despesas"/>
    <n v="7"/>
    <x v="10"/>
    <n v="1"/>
    <x v="27"/>
    <n v="22"/>
    <x v="0"/>
  </r>
  <r>
    <x v="1"/>
    <n v="2"/>
    <s v="Despesas"/>
    <n v="7"/>
    <x v="10"/>
    <n v="2"/>
    <x v="28"/>
    <n v="0"/>
    <x v="0"/>
  </r>
  <r>
    <x v="1"/>
    <n v="2"/>
    <s v="Despesas"/>
    <n v="8"/>
    <x v="11"/>
    <n v="1"/>
    <x v="29"/>
    <n v="1239.07"/>
    <x v="0"/>
  </r>
  <r>
    <x v="1"/>
    <n v="2"/>
    <s v="Despesas"/>
    <n v="8"/>
    <x v="11"/>
    <n v="2"/>
    <x v="30"/>
    <n v="2.5"/>
    <x v="0"/>
  </r>
  <r>
    <x v="1"/>
    <n v="2"/>
    <s v="Despesas"/>
    <n v="8"/>
    <x v="11"/>
    <n v="3"/>
    <x v="31"/>
    <n v="9"/>
    <x v="0"/>
  </r>
  <r>
    <x v="1"/>
    <n v="2"/>
    <s v="Despesas"/>
    <n v="8"/>
    <x v="11"/>
    <n v="4"/>
    <x v="32"/>
    <n v="0"/>
    <x v="0"/>
  </r>
  <r>
    <x v="1"/>
    <n v="2"/>
    <s v="Despesas"/>
    <n v="8"/>
    <x v="11"/>
    <n v="5"/>
    <x v="33"/>
    <n v="200"/>
    <x v="0"/>
  </r>
  <r>
    <x v="1"/>
    <n v="2"/>
    <s v="Despesas"/>
    <n v="9"/>
    <x v="12"/>
    <n v="1"/>
    <x v="34"/>
    <n v="0"/>
    <x v="0"/>
  </r>
  <r>
    <x v="1"/>
    <n v="2"/>
    <s v="Despesas"/>
    <n v="9"/>
    <x v="12"/>
    <n v="2"/>
    <x v="35"/>
    <n v="300"/>
    <x v="0"/>
  </r>
  <r>
    <x v="1"/>
    <n v="2"/>
    <s v="Despesas"/>
    <n v="9"/>
    <x v="12"/>
    <n v="3"/>
    <x v="36"/>
    <n v="0"/>
    <x v="0"/>
  </r>
  <r>
    <x v="1"/>
    <n v="2"/>
    <s v="Despesas"/>
    <n v="9"/>
    <x v="12"/>
    <n v="4"/>
    <x v="37"/>
    <n v="94.33"/>
    <x v="0"/>
  </r>
  <r>
    <x v="1"/>
    <n v="2"/>
    <s v="Despesas"/>
    <n v="9"/>
    <x v="12"/>
    <n v="5"/>
    <x v="38"/>
    <n v="130"/>
    <x v="0"/>
  </r>
  <r>
    <x v="1"/>
    <n v="2"/>
    <s v="Despesas"/>
    <n v="10"/>
    <x v="13"/>
    <n v="1"/>
    <x v="39"/>
    <n v="178.9"/>
    <x v="0"/>
  </r>
  <r>
    <x v="1"/>
    <n v="2"/>
    <s v="Despesas"/>
    <n v="10"/>
    <x v="13"/>
    <n v="2"/>
    <x v="40"/>
    <n v="157.80000000000001"/>
    <x v="0"/>
  </r>
  <r>
    <x v="1"/>
    <n v="2"/>
    <s v="Despesas"/>
    <n v="10"/>
    <x v="13"/>
    <n v="3"/>
    <x v="41"/>
    <n v="297.39"/>
    <x v="0"/>
  </r>
  <r>
    <x v="1"/>
    <n v="2"/>
    <s v="Despesas"/>
    <n v="10"/>
    <x v="13"/>
    <n v="4"/>
    <x v="42"/>
    <n v="326.75"/>
    <x v="0"/>
  </r>
  <r>
    <x v="1"/>
    <n v="2"/>
    <s v="Despesas"/>
    <n v="10"/>
    <x v="13"/>
    <n v="5"/>
    <x v="43"/>
    <n v="137.6"/>
    <x v="0"/>
  </r>
  <r>
    <x v="1"/>
    <n v="2"/>
    <s v="Despesas"/>
    <n v="10"/>
    <x v="13"/>
    <n v="6"/>
    <x v="44"/>
    <n v="55"/>
    <x v="0"/>
  </r>
  <r>
    <x v="1"/>
    <n v="2"/>
    <s v="Despesas"/>
    <n v="10"/>
    <x v="13"/>
    <n v="7"/>
    <x v="45"/>
    <n v="0"/>
    <x v="0"/>
  </r>
  <r>
    <x v="1"/>
    <n v="2"/>
    <s v="Despesas"/>
    <n v="10"/>
    <x v="13"/>
    <n v="8"/>
    <x v="46"/>
    <n v="53.35"/>
    <x v="0"/>
  </r>
  <r>
    <x v="1"/>
    <n v="2"/>
    <s v="Despesas"/>
    <n v="10"/>
    <x v="13"/>
    <n v="9"/>
    <x v="47"/>
    <n v="0"/>
    <x v="0"/>
  </r>
  <r>
    <x v="1"/>
    <n v="2"/>
    <s v="Despesas"/>
    <n v="11"/>
    <x v="3"/>
    <n v="1"/>
    <x v="48"/>
    <n v="6"/>
    <x v="0"/>
  </r>
  <r>
    <x v="0"/>
    <n v="1"/>
    <s v="Receitas"/>
    <n v="1"/>
    <x v="0"/>
    <n v="1"/>
    <x v="0"/>
    <n v="28899"/>
    <x v="1"/>
  </r>
  <r>
    <x v="0"/>
    <n v="1"/>
    <s v="Receitas"/>
    <n v="1"/>
    <x v="0"/>
    <n v="2"/>
    <x v="1"/>
    <n v="0"/>
    <x v="1"/>
  </r>
  <r>
    <x v="0"/>
    <n v="1"/>
    <s v="Receitas"/>
    <n v="2"/>
    <x v="1"/>
    <n v="1"/>
    <x v="2"/>
    <n v="0"/>
    <x v="1"/>
  </r>
  <r>
    <x v="0"/>
    <n v="1"/>
    <s v="Receitas"/>
    <n v="2"/>
    <x v="1"/>
    <n v="2"/>
    <x v="3"/>
    <n v="-2667.6"/>
    <x v="1"/>
  </r>
  <r>
    <x v="0"/>
    <n v="1"/>
    <s v="Receitas"/>
    <n v="3"/>
    <x v="2"/>
    <n v="1"/>
    <x v="4"/>
    <n v="287.45"/>
    <x v="1"/>
  </r>
  <r>
    <x v="0"/>
    <n v="1"/>
    <s v="Receitas"/>
    <n v="4"/>
    <x v="3"/>
    <n v="1"/>
    <x v="5"/>
    <n v="2.19"/>
    <x v="1"/>
  </r>
  <r>
    <x v="0"/>
    <n v="1"/>
    <s v="Receitas"/>
    <n v="4"/>
    <x v="3"/>
    <n v="2"/>
    <x v="6"/>
    <n v="44.46"/>
    <x v="1"/>
  </r>
  <r>
    <x v="1"/>
    <n v="2"/>
    <s v="Despesas"/>
    <n v="1"/>
    <x v="4"/>
    <n v="1"/>
    <x v="7"/>
    <n v="6585.35"/>
    <x v="1"/>
  </r>
  <r>
    <x v="1"/>
    <n v="2"/>
    <s v="Despesas"/>
    <n v="1"/>
    <x v="4"/>
    <n v="2"/>
    <x v="8"/>
    <n v="1691.16"/>
    <x v="1"/>
  </r>
  <r>
    <x v="1"/>
    <n v="2"/>
    <s v="Despesas"/>
    <n v="1"/>
    <x v="4"/>
    <n v="3"/>
    <x v="9"/>
    <n v="2816.97"/>
    <x v="1"/>
  </r>
  <r>
    <x v="1"/>
    <n v="2"/>
    <s v="Despesas"/>
    <n v="1"/>
    <x v="4"/>
    <n v="4"/>
    <x v="10"/>
    <n v="567.29"/>
    <x v="1"/>
  </r>
  <r>
    <x v="1"/>
    <n v="2"/>
    <s v="Despesas"/>
    <n v="1"/>
    <x v="4"/>
    <n v="5"/>
    <x v="11"/>
    <n v="620"/>
    <x v="1"/>
  </r>
  <r>
    <x v="1"/>
    <n v="2"/>
    <s v="Despesas"/>
    <n v="1"/>
    <x v="4"/>
    <n v="6"/>
    <x v="12"/>
    <n v="162"/>
    <x v="1"/>
  </r>
  <r>
    <x v="1"/>
    <n v="2"/>
    <s v="Despesas"/>
    <n v="1"/>
    <x v="4"/>
    <n v="7"/>
    <x v="13"/>
    <n v="172.8"/>
    <x v="1"/>
  </r>
  <r>
    <x v="1"/>
    <n v="2"/>
    <s v="Despesas"/>
    <n v="1"/>
    <x v="4"/>
    <n v="8"/>
    <x v="14"/>
    <n v="1003.99"/>
    <x v="1"/>
  </r>
  <r>
    <x v="1"/>
    <n v="2"/>
    <s v="Despesas"/>
    <n v="1"/>
    <x v="4"/>
    <n v="9"/>
    <x v="15"/>
    <n v="76.239999999999995"/>
    <x v="1"/>
  </r>
  <r>
    <x v="1"/>
    <n v="2"/>
    <s v="Despesas"/>
    <n v="1"/>
    <x v="4"/>
    <n v="10"/>
    <x v="16"/>
    <n v="0"/>
    <x v="1"/>
  </r>
  <r>
    <x v="1"/>
    <n v="2"/>
    <s v="Despesas"/>
    <n v="1"/>
    <x v="4"/>
    <n v="11"/>
    <x v="17"/>
    <n v="2800"/>
    <x v="1"/>
  </r>
  <r>
    <x v="1"/>
    <n v="2"/>
    <s v="Despesas"/>
    <n v="2"/>
    <x v="5"/>
    <n v="1"/>
    <x v="18"/>
    <n v="1181.18"/>
    <x v="1"/>
  </r>
  <r>
    <x v="1"/>
    <n v="2"/>
    <s v="Despesas"/>
    <n v="2"/>
    <x v="5"/>
    <n v="2"/>
    <x v="19"/>
    <n v="6226.24"/>
    <x v="1"/>
  </r>
  <r>
    <x v="1"/>
    <n v="2"/>
    <s v="Despesas"/>
    <n v="2"/>
    <x v="5"/>
    <n v="3"/>
    <x v="20"/>
    <n v="124.99"/>
    <x v="1"/>
  </r>
  <r>
    <x v="1"/>
    <n v="2"/>
    <s v="Despesas"/>
    <n v="3"/>
    <x v="6"/>
    <n v="1"/>
    <x v="21"/>
    <n v="650"/>
    <x v="1"/>
  </r>
  <r>
    <x v="1"/>
    <n v="2"/>
    <s v="Despesas"/>
    <n v="3"/>
    <x v="6"/>
    <n v="2"/>
    <x v="22"/>
    <n v="1010"/>
    <x v="1"/>
  </r>
  <r>
    <x v="1"/>
    <n v="2"/>
    <s v="Despesas"/>
    <n v="4"/>
    <x v="7"/>
    <n v="1"/>
    <x v="23"/>
    <n v="349.31"/>
    <x v="1"/>
  </r>
  <r>
    <x v="1"/>
    <n v="2"/>
    <s v="Despesas"/>
    <n v="5"/>
    <x v="8"/>
    <n v="1"/>
    <x v="24"/>
    <n v="573.35"/>
    <x v="1"/>
  </r>
  <r>
    <x v="1"/>
    <n v="2"/>
    <s v="Despesas"/>
    <n v="5"/>
    <x v="8"/>
    <n v="2"/>
    <x v="25"/>
    <n v="1.8"/>
    <x v="1"/>
  </r>
  <r>
    <x v="1"/>
    <n v="2"/>
    <s v="Despesas"/>
    <n v="6"/>
    <x v="9"/>
    <n v="1"/>
    <x v="26"/>
    <n v="66.430000000000007"/>
    <x v="1"/>
  </r>
  <r>
    <x v="1"/>
    <n v="2"/>
    <s v="Despesas"/>
    <n v="7"/>
    <x v="10"/>
    <n v="1"/>
    <x v="27"/>
    <n v="22"/>
    <x v="1"/>
  </r>
  <r>
    <x v="1"/>
    <n v="2"/>
    <s v="Despesas"/>
    <n v="7"/>
    <x v="10"/>
    <n v="2"/>
    <x v="28"/>
    <n v="16.86"/>
    <x v="1"/>
  </r>
  <r>
    <x v="1"/>
    <n v="2"/>
    <s v="Despesas"/>
    <n v="8"/>
    <x v="11"/>
    <n v="1"/>
    <x v="29"/>
    <n v="1239.07"/>
    <x v="1"/>
  </r>
  <r>
    <x v="1"/>
    <n v="2"/>
    <s v="Despesas"/>
    <n v="8"/>
    <x v="11"/>
    <n v="2"/>
    <x v="30"/>
    <n v="0"/>
    <x v="1"/>
  </r>
  <r>
    <x v="1"/>
    <n v="2"/>
    <s v="Despesas"/>
    <n v="8"/>
    <x v="11"/>
    <n v="3"/>
    <x v="31"/>
    <n v="0"/>
    <x v="1"/>
  </r>
  <r>
    <x v="1"/>
    <n v="2"/>
    <s v="Despesas"/>
    <n v="8"/>
    <x v="11"/>
    <n v="4"/>
    <x v="32"/>
    <n v="0"/>
    <x v="1"/>
  </r>
  <r>
    <x v="1"/>
    <n v="2"/>
    <s v="Despesas"/>
    <n v="8"/>
    <x v="11"/>
    <n v="5"/>
    <x v="33"/>
    <n v="200"/>
    <x v="1"/>
  </r>
  <r>
    <x v="1"/>
    <n v="2"/>
    <s v="Despesas"/>
    <n v="9"/>
    <x v="12"/>
    <n v="1"/>
    <x v="34"/>
    <n v="700"/>
    <x v="1"/>
  </r>
  <r>
    <x v="1"/>
    <n v="2"/>
    <s v="Despesas"/>
    <n v="9"/>
    <x v="12"/>
    <n v="2"/>
    <x v="35"/>
    <n v="0"/>
    <x v="1"/>
  </r>
  <r>
    <x v="1"/>
    <n v="2"/>
    <s v="Despesas"/>
    <n v="9"/>
    <x v="12"/>
    <n v="3"/>
    <x v="36"/>
    <n v="300"/>
    <x v="1"/>
  </r>
  <r>
    <x v="1"/>
    <n v="2"/>
    <s v="Despesas"/>
    <n v="9"/>
    <x v="12"/>
    <n v="4"/>
    <x v="37"/>
    <n v="94.32"/>
    <x v="1"/>
  </r>
  <r>
    <x v="1"/>
    <n v="2"/>
    <s v="Despesas"/>
    <n v="9"/>
    <x v="12"/>
    <n v="5"/>
    <x v="38"/>
    <n v="0"/>
    <x v="1"/>
  </r>
  <r>
    <x v="1"/>
    <n v="2"/>
    <s v="Despesas"/>
    <n v="10"/>
    <x v="13"/>
    <n v="1"/>
    <x v="39"/>
    <n v="126.5"/>
    <x v="1"/>
  </r>
  <r>
    <x v="1"/>
    <n v="2"/>
    <s v="Despesas"/>
    <n v="10"/>
    <x v="13"/>
    <n v="2"/>
    <x v="40"/>
    <n v="103.2"/>
    <x v="1"/>
  </r>
  <r>
    <x v="1"/>
    <n v="2"/>
    <s v="Despesas"/>
    <n v="10"/>
    <x v="13"/>
    <n v="3"/>
    <x v="41"/>
    <n v="156.78"/>
    <x v="1"/>
  </r>
  <r>
    <x v="1"/>
    <n v="2"/>
    <s v="Despesas"/>
    <n v="10"/>
    <x v="13"/>
    <n v="4"/>
    <x v="42"/>
    <n v="217.55"/>
    <x v="1"/>
  </r>
  <r>
    <x v="1"/>
    <n v="2"/>
    <s v="Despesas"/>
    <n v="10"/>
    <x v="13"/>
    <n v="5"/>
    <x v="43"/>
    <n v="45.8"/>
    <x v="1"/>
  </r>
  <r>
    <x v="1"/>
    <n v="2"/>
    <s v="Despesas"/>
    <n v="10"/>
    <x v="13"/>
    <n v="6"/>
    <x v="44"/>
    <n v="0"/>
    <x v="1"/>
  </r>
  <r>
    <x v="1"/>
    <n v="2"/>
    <s v="Despesas"/>
    <n v="10"/>
    <x v="13"/>
    <n v="7"/>
    <x v="45"/>
    <n v="265.33999999999997"/>
    <x v="1"/>
  </r>
  <r>
    <x v="1"/>
    <n v="2"/>
    <s v="Despesas"/>
    <n v="10"/>
    <x v="13"/>
    <n v="8"/>
    <x v="46"/>
    <n v="0"/>
    <x v="1"/>
  </r>
  <r>
    <x v="1"/>
    <n v="2"/>
    <s v="Despesas"/>
    <n v="10"/>
    <x v="13"/>
    <n v="9"/>
    <x v="47"/>
    <n v="240.18"/>
    <x v="1"/>
  </r>
  <r>
    <x v="1"/>
    <n v="2"/>
    <s v="Despesas"/>
    <n v="11"/>
    <x v="3"/>
    <n v="1"/>
    <x v="48"/>
    <n v="27.68"/>
    <x v="1"/>
  </r>
  <r>
    <x v="0"/>
    <n v="1"/>
    <s v="Receitas"/>
    <n v="1"/>
    <x v="0"/>
    <n v="1"/>
    <x v="0"/>
    <n v="31122"/>
    <x v="2"/>
  </r>
  <r>
    <x v="0"/>
    <n v="1"/>
    <s v="Receitas"/>
    <n v="1"/>
    <x v="0"/>
    <n v="2"/>
    <x v="1"/>
    <n v="2223"/>
    <x v="2"/>
  </r>
  <r>
    <x v="0"/>
    <n v="1"/>
    <s v="Receitas"/>
    <n v="2"/>
    <x v="1"/>
    <n v="1"/>
    <x v="2"/>
    <n v="1404.26"/>
    <x v="2"/>
  </r>
  <r>
    <x v="0"/>
    <n v="1"/>
    <s v="Receitas"/>
    <n v="2"/>
    <x v="1"/>
    <n v="2"/>
    <x v="3"/>
    <n v="-3112.2"/>
    <x v="2"/>
  </r>
  <r>
    <x v="0"/>
    <n v="1"/>
    <s v="Receitas"/>
    <n v="3"/>
    <x v="2"/>
    <n v="1"/>
    <x v="4"/>
    <n v="348.91"/>
    <x v="2"/>
  </r>
  <r>
    <x v="0"/>
    <n v="1"/>
    <s v="Receitas"/>
    <n v="4"/>
    <x v="3"/>
    <n v="1"/>
    <x v="5"/>
    <n v="26.28"/>
    <x v="2"/>
  </r>
  <r>
    <x v="0"/>
    <n v="1"/>
    <s v="Receitas"/>
    <n v="4"/>
    <x v="3"/>
    <n v="2"/>
    <x v="6"/>
    <n v="44.46"/>
    <x v="2"/>
  </r>
  <r>
    <x v="1"/>
    <n v="2"/>
    <s v="Despesas"/>
    <n v="1"/>
    <x v="4"/>
    <n v="1"/>
    <x v="7"/>
    <n v="7176.24"/>
    <x v="2"/>
  </r>
  <r>
    <x v="1"/>
    <n v="2"/>
    <s v="Despesas"/>
    <n v="1"/>
    <x v="4"/>
    <n v="2"/>
    <x v="8"/>
    <n v="0"/>
    <x v="2"/>
  </r>
  <r>
    <x v="1"/>
    <n v="2"/>
    <s v="Despesas"/>
    <n v="1"/>
    <x v="4"/>
    <n v="3"/>
    <x v="9"/>
    <n v="2737.81"/>
    <x v="2"/>
  </r>
  <r>
    <x v="1"/>
    <n v="2"/>
    <s v="Despesas"/>
    <n v="1"/>
    <x v="4"/>
    <n v="4"/>
    <x v="10"/>
    <n v="525.52"/>
    <x v="2"/>
  </r>
  <r>
    <x v="1"/>
    <n v="2"/>
    <s v="Despesas"/>
    <n v="1"/>
    <x v="4"/>
    <n v="5"/>
    <x v="11"/>
    <n v="1400"/>
    <x v="2"/>
  </r>
  <r>
    <x v="1"/>
    <n v="2"/>
    <s v="Despesas"/>
    <n v="1"/>
    <x v="4"/>
    <n v="6"/>
    <x v="12"/>
    <n v="324"/>
    <x v="2"/>
  </r>
  <r>
    <x v="1"/>
    <n v="2"/>
    <s v="Despesas"/>
    <n v="1"/>
    <x v="4"/>
    <n v="7"/>
    <x v="13"/>
    <n v="0"/>
    <x v="2"/>
  </r>
  <r>
    <x v="1"/>
    <n v="2"/>
    <s v="Despesas"/>
    <n v="1"/>
    <x v="4"/>
    <n v="8"/>
    <x v="14"/>
    <n v="11.79"/>
    <x v="2"/>
  </r>
  <r>
    <x v="1"/>
    <n v="2"/>
    <s v="Despesas"/>
    <n v="1"/>
    <x v="4"/>
    <n v="9"/>
    <x v="15"/>
    <n v="0"/>
    <x v="2"/>
  </r>
  <r>
    <x v="1"/>
    <n v="2"/>
    <s v="Despesas"/>
    <n v="1"/>
    <x v="4"/>
    <n v="10"/>
    <x v="16"/>
    <n v="0"/>
    <x v="2"/>
  </r>
  <r>
    <x v="1"/>
    <n v="2"/>
    <s v="Despesas"/>
    <n v="1"/>
    <x v="4"/>
    <n v="11"/>
    <x v="17"/>
    <n v="2800"/>
    <x v="2"/>
  </r>
  <r>
    <x v="1"/>
    <n v="2"/>
    <s v="Despesas"/>
    <n v="2"/>
    <x v="5"/>
    <n v="1"/>
    <x v="18"/>
    <n v="1111.0999999999999"/>
    <x v="2"/>
  </r>
  <r>
    <x v="1"/>
    <n v="2"/>
    <s v="Despesas"/>
    <n v="2"/>
    <x v="5"/>
    <n v="2"/>
    <x v="19"/>
    <n v="5798.88"/>
    <x v="2"/>
  </r>
  <r>
    <x v="1"/>
    <n v="2"/>
    <s v="Despesas"/>
    <n v="2"/>
    <x v="5"/>
    <n v="3"/>
    <x v="20"/>
    <n v="128.5"/>
    <x v="2"/>
  </r>
  <r>
    <x v="1"/>
    <n v="2"/>
    <s v="Despesas"/>
    <n v="3"/>
    <x v="6"/>
    <n v="1"/>
    <x v="21"/>
    <n v="650"/>
    <x v="2"/>
  </r>
  <r>
    <x v="1"/>
    <n v="2"/>
    <s v="Despesas"/>
    <n v="3"/>
    <x v="6"/>
    <n v="2"/>
    <x v="22"/>
    <n v="0"/>
    <x v="2"/>
  </r>
  <r>
    <x v="1"/>
    <n v="2"/>
    <s v="Despesas"/>
    <n v="4"/>
    <x v="7"/>
    <n v="1"/>
    <x v="23"/>
    <n v="0"/>
    <x v="2"/>
  </r>
  <r>
    <x v="1"/>
    <n v="2"/>
    <s v="Despesas"/>
    <n v="5"/>
    <x v="8"/>
    <n v="1"/>
    <x v="24"/>
    <n v="578.44000000000005"/>
    <x v="2"/>
  </r>
  <r>
    <x v="1"/>
    <n v="2"/>
    <s v="Despesas"/>
    <n v="5"/>
    <x v="8"/>
    <n v="2"/>
    <x v="25"/>
    <n v="0.02"/>
    <x v="2"/>
  </r>
  <r>
    <x v="1"/>
    <n v="2"/>
    <s v="Despesas"/>
    <n v="6"/>
    <x v="9"/>
    <n v="1"/>
    <x v="26"/>
    <n v="66.430000000000007"/>
    <x v="2"/>
  </r>
  <r>
    <x v="1"/>
    <n v="2"/>
    <s v="Despesas"/>
    <n v="7"/>
    <x v="10"/>
    <n v="1"/>
    <x v="27"/>
    <n v="22"/>
    <x v="2"/>
  </r>
  <r>
    <x v="1"/>
    <n v="2"/>
    <s v="Despesas"/>
    <n v="7"/>
    <x v="10"/>
    <n v="2"/>
    <x v="28"/>
    <n v="0"/>
    <x v="2"/>
  </r>
  <r>
    <x v="1"/>
    <n v="2"/>
    <s v="Despesas"/>
    <n v="8"/>
    <x v="11"/>
    <n v="1"/>
    <x v="29"/>
    <n v="1239.07"/>
    <x v="2"/>
  </r>
  <r>
    <x v="1"/>
    <n v="2"/>
    <s v="Despesas"/>
    <n v="8"/>
    <x v="11"/>
    <n v="2"/>
    <x v="30"/>
    <n v="0"/>
    <x v="2"/>
  </r>
  <r>
    <x v="1"/>
    <n v="2"/>
    <s v="Despesas"/>
    <n v="8"/>
    <x v="11"/>
    <n v="3"/>
    <x v="31"/>
    <n v="0"/>
    <x v="2"/>
  </r>
  <r>
    <x v="1"/>
    <n v="2"/>
    <s v="Despesas"/>
    <n v="8"/>
    <x v="11"/>
    <n v="4"/>
    <x v="32"/>
    <n v="149.85"/>
    <x v="2"/>
  </r>
  <r>
    <x v="1"/>
    <n v="2"/>
    <s v="Despesas"/>
    <n v="8"/>
    <x v="11"/>
    <n v="5"/>
    <x v="33"/>
    <n v="200"/>
    <x v="2"/>
  </r>
  <r>
    <x v="1"/>
    <n v="2"/>
    <s v="Despesas"/>
    <n v="9"/>
    <x v="12"/>
    <n v="1"/>
    <x v="34"/>
    <n v="300"/>
    <x v="2"/>
  </r>
  <r>
    <x v="1"/>
    <n v="2"/>
    <s v="Despesas"/>
    <n v="9"/>
    <x v="12"/>
    <n v="2"/>
    <x v="35"/>
    <n v="0"/>
    <x v="2"/>
  </r>
  <r>
    <x v="1"/>
    <n v="2"/>
    <s v="Despesas"/>
    <n v="9"/>
    <x v="12"/>
    <n v="3"/>
    <x v="36"/>
    <n v="0"/>
    <x v="2"/>
  </r>
  <r>
    <x v="1"/>
    <n v="2"/>
    <s v="Despesas"/>
    <n v="9"/>
    <x v="12"/>
    <n v="4"/>
    <x v="37"/>
    <n v="94.32"/>
    <x v="2"/>
  </r>
  <r>
    <x v="1"/>
    <n v="2"/>
    <s v="Despesas"/>
    <n v="9"/>
    <x v="12"/>
    <n v="5"/>
    <x v="38"/>
    <n v="0"/>
    <x v="2"/>
  </r>
  <r>
    <x v="1"/>
    <n v="2"/>
    <s v="Despesas"/>
    <n v="10"/>
    <x v="13"/>
    <n v="1"/>
    <x v="39"/>
    <n v="103.6"/>
    <x v="2"/>
  </r>
  <r>
    <x v="1"/>
    <n v="2"/>
    <s v="Despesas"/>
    <n v="10"/>
    <x v="13"/>
    <n v="2"/>
    <x v="40"/>
    <n v="0"/>
    <x v="2"/>
  </r>
  <r>
    <x v="1"/>
    <n v="2"/>
    <s v="Despesas"/>
    <n v="10"/>
    <x v="13"/>
    <n v="3"/>
    <x v="41"/>
    <n v="53.26"/>
    <x v="2"/>
  </r>
  <r>
    <x v="1"/>
    <n v="2"/>
    <s v="Despesas"/>
    <n v="10"/>
    <x v="13"/>
    <n v="4"/>
    <x v="42"/>
    <n v="161.76"/>
    <x v="2"/>
  </r>
  <r>
    <x v="1"/>
    <n v="2"/>
    <s v="Despesas"/>
    <n v="10"/>
    <x v="13"/>
    <n v="5"/>
    <x v="43"/>
    <n v="75.34"/>
    <x v="2"/>
  </r>
  <r>
    <x v="1"/>
    <n v="2"/>
    <s v="Despesas"/>
    <n v="10"/>
    <x v="13"/>
    <n v="6"/>
    <x v="44"/>
    <n v="0"/>
    <x v="2"/>
  </r>
  <r>
    <x v="1"/>
    <n v="2"/>
    <s v="Despesas"/>
    <n v="10"/>
    <x v="13"/>
    <n v="7"/>
    <x v="45"/>
    <n v="317.70999999999998"/>
    <x v="2"/>
  </r>
  <r>
    <x v="1"/>
    <n v="2"/>
    <s v="Despesas"/>
    <n v="10"/>
    <x v="13"/>
    <n v="8"/>
    <x v="46"/>
    <n v="0"/>
    <x v="2"/>
  </r>
  <r>
    <x v="1"/>
    <n v="2"/>
    <s v="Despesas"/>
    <n v="10"/>
    <x v="13"/>
    <n v="9"/>
    <x v="47"/>
    <n v="122.1"/>
    <x v="2"/>
  </r>
  <r>
    <x v="1"/>
    <n v="2"/>
    <s v="Despesas"/>
    <n v="11"/>
    <x v="3"/>
    <n v="1"/>
    <x v="48"/>
    <n v="41.85"/>
    <x v="2"/>
  </r>
  <r>
    <x v="2"/>
    <m/>
    <m/>
    <m/>
    <x v="14"/>
    <m/>
    <x v="49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5169A-D7A9-4043-9FE7-567A976B6CCA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J95" firstHeaderRow="1" firstDataRow="4" firstDataCol="5"/>
  <pivotFields count="10">
    <pivotField axis="axisRow" compact="0" outline="0" showAll="0" sortType="ascending">
      <items count="4">
        <item x="0"/>
        <item x="1"/>
        <item x="2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16">
        <item x="9"/>
        <item x="13"/>
        <item x="5"/>
        <item x="11"/>
        <item x="3"/>
        <item x="8"/>
        <item x="6"/>
        <item x="7"/>
        <item x="10"/>
        <item x="1"/>
        <item x="4"/>
        <item x="0"/>
        <item x="2"/>
        <item x="12"/>
        <item x="14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dataField="1"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0"/>
    <field x="1"/>
    <field x="2"/>
    <field x="3"/>
    <field x="4"/>
  </rowFields>
  <rowItems count="89">
    <i>
      <x/>
      <x v="1"/>
      <x/>
      <x v="11"/>
      <x/>
    </i>
    <i r="4">
      <x v="1"/>
    </i>
    <i t="default" r="3">
      <x v="11"/>
    </i>
    <i t="default" r="2">
      <x/>
    </i>
    <i r="2">
      <x v="1"/>
      <x v="9"/>
      <x/>
    </i>
    <i r="4">
      <x v="1"/>
    </i>
    <i t="default" r="3">
      <x v="9"/>
    </i>
    <i t="default" r="2">
      <x v="1"/>
    </i>
    <i r="2">
      <x v="2"/>
      <x v="12"/>
      <x/>
    </i>
    <i t="default" r="3">
      <x v="12"/>
    </i>
    <i t="default" r="2">
      <x v="2"/>
    </i>
    <i r="2">
      <x v="3"/>
      <x v="4"/>
      <x/>
    </i>
    <i r="4">
      <x v="1"/>
    </i>
    <i t="default" r="3">
      <x v="4"/>
    </i>
    <i t="default" r="2">
      <x v="3"/>
    </i>
    <i t="default" r="1">
      <x v="1"/>
    </i>
    <i t="default">
      <x/>
    </i>
    <i>
      <x v="1"/>
      <x/>
      <x/>
      <x v="10"/>
      <x/>
    </i>
    <i r="4">
      <x v="1"/>
    </i>
    <i r="4">
      <x v="2"/>
    </i>
    <i r="4">
      <x v="3"/>
    </i>
    <i r="4">
      <x v="4"/>
    </i>
    <i r="4">
      <x v="5"/>
    </i>
    <i r="4">
      <x v="6"/>
    </i>
    <i r="4">
      <x v="7"/>
    </i>
    <i r="4">
      <x v="8"/>
    </i>
    <i r="4">
      <x v="9"/>
    </i>
    <i r="4">
      <x v="10"/>
    </i>
    <i t="default" r="3">
      <x v="10"/>
    </i>
    <i t="default" r="2">
      <x/>
    </i>
    <i r="2">
      <x v="1"/>
      <x v="2"/>
      <x/>
    </i>
    <i r="4">
      <x v="1"/>
    </i>
    <i r="4">
      <x v="2"/>
    </i>
    <i t="default" r="3">
      <x v="2"/>
    </i>
    <i t="default" r="2">
      <x v="1"/>
    </i>
    <i r="2">
      <x v="2"/>
      <x v="6"/>
      <x/>
    </i>
    <i r="4">
      <x v="1"/>
    </i>
    <i t="default" r="3">
      <x v="6"/>
    </i>
    <i t="default" r="2">
      <x v="2"/>
    </i>
    <i r="2">
      <x v="3"/>
      <x v="7"/>
      <x/>
    </i>
    <i t="default" r="3">
      <x v="7"/>
    </i>
    <i t="default" r="2">
      <x v="3"/>
    </i>
    <i r="2">
      <x v="4"/>
      <x v="5"/>
      <x/>
    </i>
    <i r="4">
      <x v="1"/>
    </i>
    <i t="default" r="3">
      <x v="5"/>
    </i>
    <i t="default" r="2">
      <x v="4"/>
    </i>
    <i r="2">
      <x v="5"/>
      <x/>
      <x/>
    </i>
    <i t="default" r="3">
      <x/>
    </i>
    <i t="default" r="2">
      <x v="5"/>
    </i>
    <i r="2">
      <x v="6"/>
      <x v="8"/>
      <x/>
    </i>
    <i r="4">
      <x v="1"/>
    </i>
    <i t="default" r="3">
      <x v="8"/>
    </i>
    <i t="default" r="2">
      <x v="6"/>
    </i>
    <i r="2">
      <x v="7"/>
      <x v="3"/>
      <x/>
    </i>
    <i r="4">
      <x v="1"/>
    </i>
    <i r="4">
      <x v="2"/>
    </i>
    <i r="4">
      <x v="3"/>
    </i>
    <i r="4">
      <x v="4"/>
    </i>
    <i t="default" r="3">
      <x v="3"/>
    </i>
    <i t="default" r="2">
      <x v="7"/>
    </i>
    <i r="2">
      <x v="8"/>
      <x v="13"/>
      <x/>
    </i>
    <i r="4">
      <x v="1"/>
    </i>
    <i r="4">
      <x v="2"/>
    </i>
    <i r="4">
      <x v="3"/>
    </i>
    <i r="4">
      <x v="4"/>
    </i>
    <i t="default" r="3">
      <x v="13"/>
    </i>
    <i t="default" r="2">
      <x v="8"/>
    </i>
    <i r="2">
      <x v="9"/>
      <x v="1"/>
      <x/>
    </i>
    <i r="4">
      <x v="1"/>
    </i>
    <i r="4">
      <x v="2"/>
    </i>
    <i r="4">
      <x v="3"/>
    </i>
    <i r="4">
      <x v="4"/>
    </i>
    <i r="4">
      <x v="5"/>
    </i>
    <i r="4">
      <x v="6"/>
    </i>
    <i r="4">
      <x v="7"/>
    </i>
    <i r="4">
      <x v="8"/>
    </i>
    <i t="default" r="3">
      <x v="1"/>
    </i>
    <i t="default" r="2">
      <x v="9"/>
    </i>
    <i r="2">
      <x v="10"/>
      <x v="4"/>
      <x/>
    </i>
    <i t="default" r="3">
      <x v="4"/>
    </i>
    <i t="default" r="2">
      <x v="10"/>
    </i>
    <i t="default" r="1">
      <x/>
    </i>
    <i t="default">
      <x v="1"/>
    </i>
    <i>
      <x v="2"/>
      <x v="2"/>
      <x v="11"/>
      <x v="14"/>
      <x v="11"/>
    </i>
    <i t="default" r="3">
      <x v="14"/>
    </i>
    <i t="default" r="2">
      <x v="11"/>
    </i>
    <i t="default" r="1">
      <x v="2"/>
    </i>
    <i t="default">
      <x v="2"/>
    </i>
    <i t="grand">
      <x/>
    </i>
  </rowItems>
  <colFields count="3">
    <field x="9"/>
    <field x="7"/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Valor" fld="6" baseField="0" baseItem="0"/>
  </dataFields>
  <formats count="9">
    <format dxfId="9">
      <pivotArea field="1" grandCol="1" outline="0" axis="axisRow" fieldPosition="1">
        <references count="2">
          <reference field="0" count="1" selected="0">
            <x v="0"/>
          </reference>
          <reference field="1" count="1" selected="0" defaultSubtotal="1">
            <x v="1"/>
          </reference>
        </references>
      </pivotArea>
    </format>
    <format dxfId="8">
      <pivotArea field="1" grandCol="1" outline="0" axis="axisRow" fieldPosition="1">
        <references count="2">
          <reference field="0" count="1" selected="0">
            <x v="1"/>
          </reference>
          <reference field="1" count="1" selected="0" defaultSubtotal="1">
            <x v="0"/>
          </reference>
        </references>
      </pivotArea>
    </format>
    <format dxfId="7">
      <pivotArea outline="0" fieldPosition="0">
        <references count="1">
          <reference field="9" count="3" selected="0">
            <x v="1"/>
            <x v="2"/>
            <x v="3"/>
          </reference>
        </references>
      </pivotArea>
    </format>
    <format dxfId="6">
      <pivotArea grandCol="1" outline="0" collapsedLevelsAreSubtotals="1" fieldPosition="0"/>
    </format>
    <format dxfId="5">
      <pivotArea field="8" type="button" dataOnly="0" labelOnly="1" outline="0" axis="axisCol" fieldPosition="2"/>
    </format>
    <format dxfId="4">
      <pivotArea field="7" type="button" dataOnly="0" labelOnly="1" outline="0" axis="axisCol" fieldPosition="1"/>
    </format>
    <format dxfId="3">
      <pivotArea type="topRight" dataOnly="0" labelOnly="1" outline="0" fieldPosition="0"/>
    </format>
    <format dxfId="2">
      <pivotArea dataOnly="0" labelOnly="1" outline="0" fieldPosition="0">
        <references count="1">
          <reference field="9" count="3">
            <x v="1"/>
            <x v="2"/>
            <x v="3"/>
          </reference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750A2-4BB7-3D44-8937-4A75D8D2F074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4" firstHeaderRow="1" firstDataRow="2" firstDataCol="1"/>
  <pivotFields count="11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6">
        <item x="9"/>
        <item x="13"/>
        <item x="5"/>
        <item x="11"/>
        <item x="3"/>
        <item x="8"/>
        <item x="6"/>
        <item x="7"/>
        <item x="10"/>
        <item x="1"/>
        <item x="4"/>
        <item x="0"/>
        <item x="2"/>
        <item x="12"/>
        <item x="14"/>
        <item t="default"/>
      </items>
    </pivotField>
    <pivotField showAll="0"/>
    <pivotField axis="axisRow" showAll="0">
      <items count="51">
        <item x="1"/>
        <item x="19"/>
        <item x="27"/>
        <item x="26"/>
        <item x="30"/>
        <item x="28"/>
        <item x="3"/>
        <item x="32"/>
        <item x="2"/>
        <item x="31"/>
        <item x="18"/>
        <item x="8"/>
        <item x="10"/>
        <item x="16"/>
        <item x="25"/>
        <item x="9"/>
        <item x="5"/>
        <item x="21"/>
        <item x="42"/>
        <item x="39"/>
        <item x="41"/>
        <item x="46"/>
        <item x="40"/>
        <item x="47"/>
        <item x="43"/>
        <item x="45"/>
        <item x="44"/>
        <item x="6"/>
        <item x="24"/>
        <item x="14"/>
        <item x="15"/>
        <item x="17"/>
        <item x="4"/>
        <item x="7"/>
        <item x="23"/>
        <item x="36"/>
        <item x="35"/>
        <item x="37"/>
        <item x="38"/>
        <item x="34"/>
        <item x="22"/>
        <item x="48"/>
        <item x="0"/>
        <item x="29"/>
        <item x="20"/>
        <item x="33"/>
        <item x="11"/>
        <item x="13"/>
        <item x="12"/>
        <item x="49"/>
        <item t="default"/>
      </items>
    </pivotField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>
      <items count="36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 defaultSubtotal="0">
      <items count="14">
        <item sd="0" x="0"/>
        <item x="1"/>
        <item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0"/>
    <field x="4"/>
    <field x="6"/>
  </rowFields>
  <rowItems count="70">
    <i>
      <x/>
    </i>
    <i r="1">
      <x v="4"/>
    </i>
    <i r="2">
      <x v="16"/>
    </i>
    <i r="2">
      <x v="27"/>
    </i>
    <i r="1">
      <x v="9"/>
    </i>
    <i r="2">
      <x v="6"/>
    </i>
    <i r="2">
      <x v="8"/>
    </i>
    <i r="1">
      <x v="11"/>
    </i>
    <i r="2">
      <x/>
    </i>
    <i r="2">
      <x v="42"/>
    </i>
    <i r="1">
      <x v="12"/>
    </i>
    <i r="2">
      <x v="32"/>
    </i>
    <i>
      <x v="1"/>
    </i>
    <i r="1">
      <x/>
    </i>
    <i r="2">
      <x v="3"/>
    </i>
    <i r="1">
      <x v="1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1">
      <x v="2"/>
    </i>
    <i r="2">
      <x v="1"/>
    </i>
    <i r="2">
      <x v="10"/>
    </i>
    <i r="2">
      <x v="44"/>
    </i>
    <i r="1">
      <x v="3"/>
    </i>
    <i r="2">
      <x v="4"/>
    </i>
    <i r="2">
      <x v="7"/>
    </i>
    <i r="2">
      <x v="9"/>
    </i>
    <i r="2">
      <x v="43"/>
    </i>
    <i r="2">
      <x v="45"/>
    </i>
    <i r="1">
      <x v="4"/>
    </i>
    <i r="2">
      <x v="41"/>
    </i>
    <i r="1">
      <x v="5"/>
    </i>
    <i r="2">
      <x v="14"/>
    </i>
    <i r="2">
      <x v="28"/>
    </i>
    <i r="1">
      <x v="6"/>
    </i>
    <i r="2">
      <x v="17"/>
    </i>
    <i r="2">
      <x v="40"/>
    </i>
    <i r="1">
      <x v="7"/>
    </i>
    <i r="2">
      <x v="34"/>
    </i>
    <i r="1">
      <x v="8"/>
    </i>
    <i r="2">
      <x v="2"/>
    </i>
    <i r="2">
      <x v="5"/>
    </i>
    <i r="1">
      <x v="10"/>
    </i>
    <i r="2">
      <x v="11"/>
    </i>
    <i r="2">
      <x v="12"/>
    </i>
    <i r="2">
      <x v="13"/>
    </i>
    <i r="2">
      <x v="15"/>
    </i>
    <i r="2">
      <x v="29"/>
    </i>
    <i r="2">
      <x v="30"/>
    </i>
    <i r="2">
      <x v="31"/>
    </i>
    <i r="2">
      <x v="33"/>
    </i>
    <i r="2">
      <x v="46"/>
    </i>
    <i r="2">
      <x v="47"/>
    </i>
    <i r="2">
      <x v="48"/>
    </i>
    <i r="1">
      <x v="13"/>
    </i>
    <i r="2">
      <x v="35"/>
    </i>
    <i r="2">
      <x v="36"/>
    </i>
    <i r="2">
      <x v="37"/>
    </i>
    <i r="2">
      <x v="38"/>
    </i>
    <i r="2">
      <x v="39"/>
    </i>
    <i>
      <x v="2"/>
    </i>
    <i r="1">
      <x v="14"/>
    </i>
    <i r="2">
      <x v="49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Valor" fld="7" baseField="0" baseItem="0"/>
  </dataFields>
  <formats count="1">
    <format dxfId="0">
      <pivotArea dataOnly="0" labelOnly="1" fieldPosition="0">
        <references count="1">
          <reference field="8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opLeftCell="A11" zoomScale="118" zoomScaleNormal="100" workbookViewId="0">
      <selection activeCell="G37" sqref="G37"/>
    </sheetView>
  </sheetViews>
  <sheetFormatPr baseColWidth="10" defaultRowHeight="13" x14ac:dyDescent="0.15"/>
  <cols>
    <col min="4" max="6" width="17.33203125" customWidth="1"/>
    <col min="7" max="7" width="41.6640625" bestFit="1" customWidth="1"/>
    <col min="8" max="9" width="36" customWidth="1"/>
  </cols>
  <sheetData>
    <row r="1" spans="1:9" x14ac:dyDescent="0.15">
      <c r="A1" t="s">
        <v>150</v>
      </c>
      <c r="B1" t="s">
        <v>65</v>
      </c>
      <c r="C1" t="s">
        <v>70</v>
      </c>
      <c r="D1" t="s">
        <v>66</v>
      </c>
      <c r="E1" t="s">
        <v>69</v>
      </c>
      <c r="F1" t="s">
        <v>67</v>
      </c>
      <c r="G1" t="s">
        <v>68</v>
      </c>
      <c r="H1" t="s">
        <v>73</v>
      </c>
      <c r="I1" t="s">
        <v>74</v>
      </c>
    </row>
    <row r="2" spans="1:9" x14ac:dyDescent="0.15">
      <c r="A2" t="str">
        <f>_xlfn.CONCAT(B2,".",C2)</f>
        <v>1.Receitas</v>
      </c>
      <c r="B2">
        <v>1</v>
      </c>
      <c r="C2" t="s">
        <v>0</v>
      </c>
      <c r="D2">
        <v>1</v>
      </c>
      <c r="E2" t="s">
        <v>1</v>
      </c>
      <c r="F2">
        <v>1</v>
      </c>
      <c r="G2" t="s">
        <v>2</v>
      </c>
      <c r="H2" s="1">
        <v>33345</v>
      </c>
      <c r="I2" s="4">
        <v>46023</v>
      </c>
    </row>
    <row r="3" spans="1:9" x14ac:dyDescent="0.15">
      <c r="A3" t="str">
        <f t="shared" ref="A3:A66" si="0">_xlfn.CONCAT(B3,".",C3)</f>
        <v>1.Receitas</v>
      </c>
      <c r="B3">
        <v>1</v>
      </c>
      <c r="C3" t="s">
        <v>0</v>
      </c>
      <c r="D3">
        <v>1</v>
      </c>
      <c r="E3" t="s">
        <v>1</v>
      </c>
      <c r="F3">
        <v>2</v>
      </c>
      <c r="G3" t="s">
        <v>3</v>
      </c>
      <c r="H3">
        <v>0</v>
      </c>
      <c r="I3" s="4">
        <v>46023</v>
      </c>
    </row>
    <row r="4" spans="1:9" x14ac:dyDescent="0.15">
      <c r="A4" t="str">
        <f t="shared" si="0"/>
        <v>1.Receitas</v>
      </c>
      <c r="B4">
        <v>1</v>
      </c>
      <c r="C4" t="s">
        <v>0</v>
      </c>
      <c r="D4">
        <v>2</v>
      </c>
      <c r="E4" t="s">
        <v>4</v>
      </c>
      <c r="F4">
        <v>1</v>
      </c>
      <c r="G4" t="s">
        <v>5</v>
      </c>
      <c r="H4">
        <v>0</v>
      </c>
      <c r="I4" s="4">
        <v>46023</v>
      </c>
    </row>
    <row r="5" spans="1:9" x14ac:dyDescent="0.15">
      <c r="A5" t="str">
        <f t="shared" si="0"/>
        <v>1.Receitas</v>
      </c>
      <c r="B5">
        <v>1</v>
      </c>
      <c r="C5" t="s">
        <v>0</v>
      </c>
      <c r="D5">
        <v>2</v>
      </c>
      <c r="E5" t="s">
        <v>4</v>
      </c>
      <c r="F5">
        <v>2</v>
      </c>
      <c r="G5" t="s">
        <v>6</v>
      </c>
      <c r="H5" s="1">
        <v>-3334.5</v>
      </c>
      <c r="I5" s="4">
        <v>46023</v>
      </c>
    </row>
    <row r="6" spans="1:9" x14ac:dyDescent="0.15">
      <c r="A6" t="str">
        <f t="shared" si="0"/>
        <v>1.Receitas</v>
      </c>
      <c r="B6">
        <v>1</v>
      </c>
      <c r="C6" t="s">
        <v>0</v>
      </c>
      <c r="D6">
        <v>3</v>
      </c>
      <c r="E6" t="s">
        <v>7</v>
      </c>
      <c r="F6">
        <v>1</v>
      </c>
      <c r="G6" t="s">
        <v>8</v>
      </c>
      <c r="H6">
        <v>994.48</v>
      </c>
      <c r="I6" s="4">
        <v>46023</v>
      </c>
    </row>
    <row r="7" spans="1:9" x14ac:dyDescent="0.15">
      <c r="A7" t="str">
        <f t="shared" si="0"/>
        <v>1.Receitas</v>
      </c>
      <c r="B7">
        <v>1</v>
      </c>
      <c r="C7" t="s">
        <v>0</v>
      </c>
      <c r="D7">
        <v>4</v>
      </c>
      <c r="E7" t="s">
        <v>9</v>
      </c>
      <c r="F7">
        <v>1</v>
      </c>
      <c r="G7" t="s">
        <v>10</v>
      </c>
      <c r="H7">
        <v>0</v>
      </c>
      <c r="I7" s="4">
        <v>46023</v>
      </c>
    </row>
    <row r="8" spans="1:9" x14ac:dyDescent="0.15">
      <c r="A8" t="str">
        <f t="shared" si="0"/>
        <v>1.Receitas</v>
      </c>
      <c r="B8">
        <v>1</v>
      </c>
      <c r="C8" t="s">
        <v>0</v>
      </c>
      <c r="D8">
        <v>4</v>
      </c>
      <c r="E8" t="s">
        <v>9</v>
      </c>
      <c r="F8">
        <v>2</v>
      </c>
      <c r="G8" t="s">
        <v>11</v>
      </c>
      <c r="H8">
        <v>0</v>
      </c>
      <c r="I8" s="4">
        <v>46023</v>
      </c>
    </row>
    <row r="9" spans="1:9" x14ac:dyDescent="0.15">
      <c r="A9" t="str">
        <f t="shared" si="0"/>
        <v>2.Despesas</v>
      </c>
      <c r="B9">
        <v>2</v>
      </c>
      <c r="C9" t="s">
        <v>12</v>
      </c>
      <c r="D9">
        <v>1</v>
      </c>
      <c r="E9" t="s">
        <v>13</v>
      </c>
      <c r="F9">
        <v>1</v>
      </c>
      <c r="G9" t="s">
        <v>14</v>
      </c>
      <c r="H9" s="1">
        <v>7109.65</v>
      </c>
      <c r="I9" s="4">
        <v>46023</v>
      </c>
    </row>
    <row r="10" spans="1:9" x14ac:dyDescent="0.15">
      <c r="A10" t="str">
        <f t="shared" si="0"/>
        <v>2.Despesas</v>
      </c>
      <c r="B10">
        <v>2</v>
      </c>
      <c r="C10" t="s">
        <v>12</v>
      </c>
      <c r="D10">
        <v>1</v>
      </c>
      <c r="E10" t="s">
        <v>13</v>
      </c>
      <c r="F10">
        <v>2</v>
      </c>
      <c r="G10" t="s">
        <v>15</v>
      </c>
      <c r="H10">
        <v>0</v>
      </c>
      <c r="I10" s="4">
        <v>46023</v>
      </c>
    </row>
    <row r="11" spans="1:9" x14ac:dyDescent="0.15">
      <c r="A11" t="str">
        <f t="shared" si="0"/>
        <v>2.Despesas</v>
      </c>
      <c r="B11">
        <v>2</v>
      </c>
      <c r="C11" t="s">
        <v>12</v>
      </c>
      <c r="D11">
        <v>1</v>
      </c>
      <c r="E11" t="s">
        <v>13</v>
      </c>
      <c r="F11">
        <v>3</v>
      </c>
      <c r="G11" t="s">
        <v>16</v>
      </c>
      <c r="H11" s="1">
        <v>2675.64</v>
      </c>
      <c r="I11" s="4">
        <v>46023</v>
      </c>
    </row>
    <row r="12" spans="1:9" x14ac:dyDescent="0.15">
      <c r="A12" t="str">
        <f t="shared" si="0"/>
        <v>2.Despesas</v>
      </c>
      <c r="B12">
        <v>2</v>
      </c>
      <c r="C12" t="s">
        <v>12</v>
      </c>
      <c r="D12">
        <v>1</v>
      </c>
      <c r="E12" t="s">
        <v>13</v>
      </c>
      <c r="F12">
        <v>4</v>
      </c>
      <c r="G12" t="s">
        <v>17</v>
      </c>
      <c r="H12">
        <v>576.37</v>
      </c>
      <c r="I12" s="4">
        <v>46023</v>
      </c>
    </row>
    <row r="13" spans="1:9" x14ac:dyDescent="0.15">
      <c r="A13" t="str">
        <f t="shared" si="0"/>
        <v>2.Despesas</v>
      </c>
      <c r="B13">
        <v>2</v>
      </c>
      <c r="C13" t="s">
        <v>12</v>
      </c>
      <c r="D13">
        <v>1</v>
      </c>
      <c r="E13" t="s">
        <v>13</v>
      </c>
      <c r="F13">
        <v>5</v>
      </c>
      <c r="G13" t="s">
        <v>18</v>
      </c>
      <c r="H13">
        <v>960</v>
      </c>
      <c r="I13" s="4">
        <v>46023</v>
      </c>
    </row>
    <row r="14" spans="1:9" x14ac:dyDescent="0.15">
      <c r="A14" t="str">
        <f t="shared" si="0"/>
        <v>2.Despesas</v>
      </c>
      <c r="B14">
        <v>2</v>
      </c>
      <c r="C14" t="s">
        <v>12</v>
      </c>
      <c r="D14">
        <v>1</v>
      </c>
      <c r="E14" t="s">
        <v>13</v>
      </c>
      <c r="F14">
        <v>6</v>
      </c>
      <c r="G14" t="s">
        <v>19</v>
      </c>
      <c r="H14">
        <v>151.19999999999999</v>
      </c>
      <c r="I14" s="4">
        <v>46023</v>
      </c>
    </row>
    <row r="15" spans="1:9" x14ac:dyDescent="0.15">
      <c r="A15" t="str">
        <f t="shared" si="0"/>
        <v>2.Despesas</v>
      </c>
      <c r="B15">
        <v>2</v>
      </c>
      <c r="C15" t="s">
        <v>12</v>
      </c>
      <c r="D15">
        <v>1</v>
      </c>
      <c r="E15" t="s">
        <v>13</v>
      </c>
      <c r="F15">
        <v>7</v>
      </c>
      <c r="G15" t="s">
        <v>20</v>
      </c>
      <c r="H15">
        <v>151.19999999999999</v>
      </c>
      <c r="I15" s="4">
        <v>46023</v>
      </c>
    </row>
    <row r="16" spans="1:9" x14ac:dyDescent="0.15">
      <c r="A16" t="str">
        <f t="shared" si="0"/>
        <v>2.Despesas</v>
      </c>
      <c r="B16">
        <v>2</v>
      </c>
      <c r="C16" t="s">
        <v>12</v>
      </c>
      <c r="D16">
        <v>1</v>
      </c>
      <c r="E16" t="s">
        <v>13</v>
      </c>
      <c r="F16">
        <v>8</v>
      </c>
      <c r="G16" t="s">
        <v>21</v>
      </c>
      <c r="H16">
        <v>527</v>
      </c>
      <c r="I16" s="4">
        <v>46023</v>
      </c>
    </row>
    <row r="17" spans="1:9" x14ac:dyDescent="0.15">
      <c r="A17" t="str">
        <f t="shared" si="0"/>
        <v>2.Despesas</v>
      </c>
      <c r="B17">
        <v>2</v>
      </c>
      <c r="C17" t="s">
        <v>12</v>
      </c>
      <c r="D17">
        <v>1</v>
      </c>
      <c r="E17" t="s">
        <v>13</v>
      </c>
      <c r="F17">
        <v>9</v>
      </c>
      <c r="G17" t="s">
        <v>22</v>
      </c>
      <c r="H17">
        <v>72.040000000000006</v>
      </c>
      <c r="I17" s="4">
        <v>46023</v>
      </c>
    </row>
    <row r="18" spans="1:9" x14ac:dyDescent="0.15">
      <c r="A18" t="str">
        <f t="shared" si="0"/>
        <v>2.Despesas</v>
      </c>
      <c r="B18">
        <v>2</v>
      </c>
      <c r="C18" t="s">
        <v>12</v>
      </c>
      <c r="D18">
        <v>1</v>
      </c>
      <c r="E18" t="s">
        <v>13</v>
      </c>
      <c r="F18">
        <v>10</v>
      </c>
      <c r="G18" t="s">
        <v>23</v>
      </c>
      <c r="H18">
        <v>240.27</v>
      </c>
      <c r="I18" s="4">
        <v>46023</v>
      </c>
    </row>
    <row r="19" spans="1:9" x14ac:dyDescent="0.15">
      <c r="A19" t="str">
        <f t="shared" si="0"/>
        <v>2.Despesas</v>
      </c>
      <c r="B19">
        <v>2</v>
      </c>
      <c r="C19" t="s">
        <v>12</v>
      </c>
      <c r="D19">
        <v>1</v>
      </c>
      <c r="E19" t="s">
        <v>13</v>
      </c>
      <c r="F19">
        <v>11</v>
      </c>
      <c r="G19" t="s">
        <v>24</v>
      </c>
      <c r="H19" s="1">
        <v>2800</v>
      </c>
      <c r="I19" s="4">
        <v>46023</v>
      </c>
    </row>
    <row r="20" spans="1:9" x14ac:dyDescent="0.15">
      <c r="A20" t="str">
        <f t="shared" si="0"/>
        <v>2.Despesas</v>
      </c>
      <c r="B20">
        <v>2</v>
      </c>
      <c r="C20" t="s">
        <v>12</v>
      </c>
      <c r="D20">
        <v>2</v>
      </c>
      <c r="E20" t="s">
        <v>25</v>
      </c>
      <c r="F20">
        <v>1</v>
      </c>
      <c r="G20" t="s">
        <v>26</v>
      </c>
      <c r="H20" s="1">
        <v>1317.83</v>
      </c>
      <c r="I20" s="4">
        <v>46023</v>
      </c>
    </row>
    <row r="21" spans="1:9" x14ac:dyDescent="0.15">
      <c r="A21" t="str">
        <f t="shared" si="0"/>
        <v>2.Despesas</v>
      </c>
      <c r="B21">
        <v>2</v>
      </c>
      <c r="C21" t="s">
        <v>12</v>
      </c>
      <c r="D21">
        <v>2</v>
      </c>
      <c r="E21" t="s">
        <v>25</v>
      </c>
      <c r="F21">
        <v>2</v>
      </c>
      <c r="G21" t="s">
        <v>27</v>
      </c>
      <c r="H21" s="1">
        <v>4944.16</v>
      </c>
      <c r="I21" s="4">
        <v>46023</v>
      </c>
    </row>
    <row r="22" spans="1:9" x14ac:dyDescent="0.15">
      <c r="A22" t="str">
        <f t="shared" si="0"/>
        <v>2.Despesas</v>
      </c>
      <c r="B22">
        <v>2</v>
      </c>
      <c r="C22" t="s">
        <v>12</v>
      </c>
      <c r="D22">
        <v>2</v>
      </c>
      <c r="E22" t="s">
        <v>25</v>
      </c>
      <c r="F22">
        <v>3</v>
      </c>
      <c r="G22" t="s">
        <v>28</v>
      </c>
      <c r="H22">
        <v>124.99</v>
      </c>
      <c r="I22" s="4">
        <v>46023</v>
      </c>
    </row>
    <row r="23" spans="1:9" x14ac:dyDescent="0.15">
      <c r="A23" t="str">
        <f t="shared" si="0"/>
        <v>2.Despesas</v>
      </c>
      <c r="B23">
        <v>2</v>
      </c>
      <c r="C23" t="s">
        <v>12</v>
      </c>
      <c r="D23">
        <v>3</v>
      </c>
      <c r="E23" t="s">
        <v>29</v>
      </c>
      <c r="F23">
        <v>1</v>
      </c>
      <c r="G23" t="s">
        <v>30</v>
      </c>
      <c r="H23">
        <v>650</v>
      </c>
      <c r="I23" s="4">
        <v>46023</v>
      </c>
    </row>
    <row r="24" spans="1:9" x14ac:dyDescent="0.15">
      <c r="A24" t="str">
        <f t="shared" si="0"/>
        <v>2.Despesas</v>
      </c>
      <c r="B24">
        <v>2</v>
      </c>
      <c r="C24" t="s">
        <v>12</v>
      </c>
      <c r="D24">
        <v>3</v>
      </c>
      <c r="E24" t="s">
        <v>29</v>
      </c>
      <c r="F24">
        <v>2</v>
      </c>
      <c r="G24" t="s">
        <v>31</v>
      </c>
      <c r="H24">
        <v>0</v>
      </c>
      <c r="I24" s="4">
        <v>46023</v>
      </c>
    </row>
    <row r="25" spans="1:9" x14ac:dyDescent="0.15">
      <c r="A25" t="str">
        <f t="shared" si="0"/>
        <v>2.Despesas</v>
      </c>
      <c r="B25">
        <v>2</v>
      </c>
      <c r="C25" t="s">
        <v>12</v>
      </c>
      <c r="D25">
        <v>4</v>
      </c>
      <c r="E25" t="s">
        <v>32</v>
      </c>
      <c r="F25">
        <v>1</v>
      </c>
      <c r="G25" t="s">
        <v>33</v>
      </c>
      <c r="H25">
        <v>349.33</v>
      </c>
      <c r="I25" s="4">
        <v>46023</v>
      </c>
    </row>
    <row r="26" spans="1:9" x14ac:dyDescent="0.15">
      <c r="A26" t="str">
        <f t="shared" si="0"/>
        <v>2.Despesas</v>
      </c>
      <c r="B26">
        <v>2</v>
      </c>
      <c r="C26" t="s">
        <v>12</v>
      </c>
      <c r="D26">
        <v>5</v>
      </c>
      <c r="E26" t="s">
        <v>34</v>
      </c>
      <c r="F26">
        <v>1</v>
      </c>
      <c r="G26" t="s">
        <v>35</v>
      </c>
      <c r="H26">
        <v>567.45000000000005</v>
      </c>
      <c r="I26" s="4">
        <v>46023</v>
      </c>
    </row>
    <row r="27" spans="1:9" x14ac:dyDescent="0.15">
      <c r="A27" t="str">
        <f t="shared" si="0"/>
        <v>2.Despesas</v>
      </c>
      <c r="B27">
        <v>2</v>
      </c>
      <c r="C27" t="s">
        <v>12</v>
      </c>
      <c r="D27">
        <v>5</v>
      </c>
      <c r="E27" t="s">
        <v>34</v>
      </c>
      <c r="F27">
        <v>2</v>
      </c>
      <c r="G27" t="s">
        <v>36</v>
      </c>
      <c r="H27">
        <v>0.1</v>
      </c>
      <c r="I27" s="4">
        <v>46023</v>
      </c>
    </row>
    <row r="28" spans="1:9" x14ac:dyDescent="0.15">
      <c r="A28" t="str">
        <f t="shared" si="0"/>
        <v>2.Despesas</v>
      </c>
      <c r="B28">
        <v>2</v>
      </c>
      <c r="C28" t="s">
        <v>12</v>
      </c>
      <c r="D28">
        <v>6</v>
      </c>
      <c r="E28" t="s">
        <v>37</v>
      </c>
      <c r="F28">
        <v>1</v>
      </c>
      <c r="G28" t="s">
        <v>38</v>
      </c>
      <c r="H28">
        <v>66.44</v>
      </c>
      <c r="I28" s="4">
        <v>46023</v>
      </c>
    </row>
    <row r="29" spans="1:9" x14ac:dyDescent="0.15">
      <c r="A29" t="str">
        <f t="shared" si="0"/>
        <v>2.Despesas</v>
      </c>
      <c r="B29">
        <v>2</v>
      </c>
      <c r="C29" t="s">
        <v>12</v>
      </c>
      <c r="D29">
        <v>7</v>
      </c>
      <c r="E29" t="s">
        <v>39</v>
      </c>
      <c r="F29">
        <v>1</v>
      </c>
      <c r="G29" t="s">
        <v>40</v>
      </c>
      <c r="H29">
        <v>22</v>
      </c>
      <c r="I29" s="4">
        <v>46023</v>
      </c>
    </row>
    <row r="30" spans="1:9" x14ac:dyDescent="0.15">
      <c r="A30" t="str">
        <f t="shared" si="0"/>
        <v>2.Despesas</v>
      </c>
      <c r="B30">
        <v>2</v>
      </c>
      <c r="C30" t="s">
        <v>12</v>
      </c>
      <c r="D30">
        <v>7</v>
      </c>
      <c r="E30" t="s">
        <v>39</v>
      </c>
      <c r="F30">
        <v>2</v>
      </c>
      <c r="G30" t="s">
        <v>41</v>
      </c>
      <c r="H30">
        <v>0</v>
      </c>
      <c r="I30" s="4">
        <v>46023</v>
      </c>
    </row>
    <row r="31" spans="1:9" x14ac:dyDescent="0.15">
      <c r="A31" t="str">
        <f t="shared" si="0"/>
        <v>2.Despesas</v>
      </c>
      <c r="B31">
        <v>2</v>
      </c>
      <c r="C31" t="s">
        <v>12</v>
      </c>
      <c r="D31">
        <v>8</v>
      </c>
      <c r="E31" t="s">
        <v>42</v>
      </c>
      <c r="F31">
        <v>1</v>
      </c>
      <c r="G31" t="s">
        <v>43</v>
      </c>
      <c r="H31" s="1">
        <v>1239.07</v>
      </c>
      <c r="I31" s="4">
        <v>46023</v>
      </c>
    </row>
    <row r="32" spans="1:9" x14ac:dyDescent="0.15">
      <c r="A32" t="str">
        <f t="shared" si="0"/>
        <v>2.Despesas</v>
      </c>
      <c r="B32">
        <v>2</v>
      </c>
      <c r="C32" t="s">
        <v>12</v>
      </c>
      <c r="D32">
        <v>8</v>
      </c>
      <c r="E32" t="s">
        <v>42</v>
      </c>
      <c r="F32">
        <v>2</v>
      </c>
      <c r="G32" t="s">
        <v>44</v>
      </c>
      <c r="H32">
        <v>2.5</v>
      </c>
      <c r="I32" s="4">
        <v>46023</v>
      </c>
    </row>
    <row r="33" spans="1:9" x14ac:dyDescent="0.15">
      <c r="A33" t="str">
        <f t="shared" si="0"/>
        <v>2.Despesas</v>
      </c>
      <c r="B33">
        <v>2</v>
      </c>
      <c r="C33" t="s">
        <v>12</v>
      </c>
      <c r="D33">
        <v>8</v>
      </c>
      <c r="E33" t="s">
        <v>42</v>
      </c>
      <c r="F33">
        <v>3</v>
      </c>
      <c r="G33" t="s">
        <v>45</v>
      </c>
      <c r="H33">
        <v>9</v>
      </c>
      <c r="I33" s="4">
        <v>46023</v>
      </c>
    </row>
    <row r="34" spans="1:9" x14ac:dyDescent="0.15">
      <c r="A34" t="str">
        <f t="shared" si="0"/>
        <v>2.Despesas</v>
      </c>
      <c r="B34">
        <v>2</v>
      </c>
      <c r="C34" t="s">
        <v>12</v>
      </c>
      <c r="D34">
        <v>8</v>
      </c>
      <c r="E34" t="s">
        <v>42</v>
      </c>
      <c r="F34">
        <v>4</v>
      </c>
      <c r="G34" t="s">
        <v>46</v>
      </c>
      <c r="H34">
        <v>0</v>
      </c>
      <c r="I34" s="4">
        <v>46023</v>
      </c>
    </row>
    <row r="35" spans="1:9" x14ac:dyDescent="0.15">
      <c r="A35" t="str">
        <f t="shared" si="0"/>
        <v>2.Despesas</v>
      </c>
      <c r="B35">
        <v>2</v>
      </c>
      <c r="C35" t="s">
        <v>12</v>
      </c>
      <c r="D35">
        <v>8</v>
      </c>
      <c r="E35" t="s">
        <v>42</v>
      </c>
      <c r="F35">
        <v>5</v>
      </c>
      <c r="G35" t="s">
        <v>47</v>
      </c>
      <c r="H35">
        <v>200</v>
      </c>
      <c r="I35" s="4">
        <v>46023</v>
      </c>
    </row>
    <row r="36" spans="1:9" x14ac:dyDescent="0.15">
      <c r="A36" t="str">
        <f t="shared" si="0"/>
        <v>2.Despesas</v>
      </c>
      <c r="B36">
        <v>2</v>
      </c>
      <c r="C36" t="s">
        <v>12</v>
      </c>
      <c r="D36">
        <v>9</v>
      </c>
      <c r="E36" t="s">
        <v>48</v>
      </c>
      <c r="F36">
        <v>1</v>
      </c>
      <c r="G36" t="s">
        <v>49</v>
      </c>
      <c r="H36">
        <v>0</v>
      </c>
      <c r="I36" s="4">
        <v>46023</v>
      </c>
    </row>
    <row r="37" spans="1:9" x14ac:dyDescent="0.15">
      <c r="A37" t="str">
        <f t="shared" si="0"/>
        <v>2.Despesas</v>
      </c>
      <c r="B37">
        <v>2</v>
      </c>
      <c r="C37" t="s">
        <v>12</v>
      </c>
      <c r="D37">
        <v>9</v>
      </c>
      <c r="E37" t="s">
        <v>48</v>
      </c>
      <c r="F37">
        <v>2</v>
      </c>
      <c r="G37" t="s">
        <v>50</v>
      </c>
      <c r="H37">
        <v>300</v>
      </c>
      <c r="I37" s="4">
        <v>46023</v>
      </c>
    </row>
    <row r="38" spans="1:9" x14ac:dyDescent="0.15">
      <c r="A38" t="str">
        <f t="shared" si="0"/>
        <v>2.Despesas</v>
      </c>
      <c r="B38">
        <v>2</v>
      </c>
      <c r="C38" t="s">
        <v>12</v>
      </c>
      <c r="D38">
        <v>9</v>
      </c>
      <c r="E38" t="s">
        <v>48</v>
      </c>
      <c r="F38">
        <v>3</v>
      </c>
      <c r="G38" t="s">
        <v>51</v>
      </c>
      <c r="H38">
        <v>0</v>
      </c>
      <c r="I38" s="4">
        <v>46023</v>
      </c>
    </row>
    <row r="39" spans="1:9" x14ac:dyDescent="0.15">
      <c r="A39" t="str">
        <f t="shared" si="0"/>
        <v>2.Despesas</v>
      </c>
      <c r="B39">
        <v>2</v>
      </c>
      <c r="C39" t="s">
        <v>12</v>
      </c>
      <c r="D39">
        <v>9</v>
      </c>
      <c r="E39" t="s">
        <v>48</v>
      </c>
      <c r="F39">
        <v>4</v>
      </c>
      <c r="G39" t="s">
        <v>52</v>
      </c>
      <c r="H39">
        <v>94.33</v>
      </c>
      <c r="I39" s="4">
        <v>46023</v>
      </c>
    </row>
    <row r="40" spans="1:9" x14ac:dyDescent="0.15">
      <c r="A40" t="str">
        <f t="shared" si="0"/>
        <v>2.Despesas</v>
      </c>
      <c r="B40">
        <v>2</v>
      </c>
      <c r="C40" t="s">
        <v>12</v>
      </c>
      <c r="D40">
        <v>9</v>
      </c>
      <c r="E40" t="s">
        <v>48</v>
      </c>
      <c r="F40">
        <v>5</v>
      </c>
      <c r="G40" t="s">
        <v>53</v>
      </c>
      <c r="H40">
        <v>130</v>
      </c>
      <c r="I40" s="4">
        <v>46023</v>
      </c>
    </row>
    <row r="41" spans="1:9" x14ac:dyDescent="0.15">
      <c r="A41" t="str">
        <f t="shared" si="0"/>
        <v>2.Despesas</v>
      </c>
      <c r="B41">
        <v>2</v>
      </c>
      <c r="C41" t="s">
        <v>12</v>
      </c>
      <c r="D41">
        <v>10</v>
      </c>
      <c r="E41" t="s">
        <v>54</v>
      </c>
      <c r="F41">
        <v>1</v>
      </c>
      <c r="G41" t="s">
        <v>55</v>
      </c>
      <c r="H41">
        <v>178.9</v>
      </c>
      <c r="I41" s="4">
        <v>46023</v>
      </c>
    </row>
    <row r="42" spans="1:9" x14ac:dyDescent="0.15">
      <c r="A42" t="str">
        <f t="shared" si="0"/>
        <v>2.Despesas</v>
      </c>
      <c r="B42">
        <v>2</v>
      </c>
      <c r="C42" t="s">
        <v>12</v>
      </c>
      <c r="D42">
        <v>10</v>
      </c>
      <c r="E42" t="s">
        <v>54</v>
      </c>
      <c r="F42">
        <v>2</v>
      </c>
      <c r="G42" t="s">
        <v>56</v>
      </c>
      <c r="H42">
        <v>157.80000000000001</v>
      </c>
      <c r="I42" s="4">
        <v>46023</v>
      </c>
    </row>
    <row r="43" spans="1:9" x14ac:dyDescent="0.15">
      <c r="A43" t="str">
        <f t="shared" si="0"/>
        <v>2.Despesas</v>
      </c>
      <c r="B43">
        <v>2</v>
      </c>
      <c r="C43" t="s">
        <v>12</v>
      </c>
      <c r="D43">
        <v>10</v>
      </c>
      <c r="E43" t="s">
        <v>54</v>
      </c>
      <c r="F43">
        <v>3</v>
      </c>
      <c r="G43" t="s">
        <v>57</v>
      </c>
      <c r="H43">
        <v>297.39</v>
      </c>
      <c r="I43" s="4">
        <v>46023</v>
      </c>
    </row>
    <row r="44" spans="1:9" x14ac:dyDescent="0.15">
      <c r="A44" t="str">
        <f t="shared" si="0"/>
        <v>2.Despesas</v>
      </c>
      <c r="B44">
        <v>2</v>
      </c>
      <c r="C44" t="s">
        <v>12</v>
      </c>
      <c r="D44">
        <v>10</v>
      </c>
      <c r="E44" t="s">
        <v>54</v>
      </c>
      <c r="F44">
        <v>4</v>
      </c>
      <c r="G44" t="s">
        <v>58</v>
      </c>
      <c r="H44">
        <v>326.75</v>
      </c>
      <c r="I44" s="4">
        <v>46023</v>
      </c>
    </row>
    <row r="45" spans="1:9" x14ac:dyDescent="0.15">
      <c r="A45" t="str">
        <f t="shared" si="0"/>
        <v>2.Despesas</v>
      </c>
      <c r="B45">
        <v>2</v>
      </c>
      <c r="C45" t="s">
        <v>12</v>
      </c>
      <c r="D45">
        <v>10</v>
      </c>
      <c r="E45" t="s">
        <v>54</v>
      </c>
      <c r="F45">
        <v>5</v>
      </c>
      <c r="G45" t="s">
        <v>59</v>
      </c>
      <c r="H45">
        <v>137.6</v>
      </c>
      <c r="I45" s="4">
        <v>46023</v>
      </c>
    </row>
    <row r="46" spans="1:9" x14ac:dyDescent="0.15">
      <c r="A46" t="str">
        <f t="shared" si="0"/>
        <v>2.Despesas</v>
      </c>
      <c r="B46">
        <v>2</v>
      </c>
      <c r="C46" t="s">
        <v>12</v>
      </c>
      <c r="D46">
        <v>10</v>
      </c>
      <c r="E46" t="s">
        <v>54</v>
      </c>
      <c r="F46">
        <v>6</v>
      </c>
      <c r="G46" t="s">
        <v>60</v>
      </c>
      <c r="H46">
        <v>55</v>
      </c>
      <c r="I46" s="4">
        <v>46023</v>
      </c>
    </row>
    <row r="47" spans="1:9" x14ac:dyDescent="0.15">
      <c r="A47" t="str">
        <f t="shared" si="0"/>
        <v>2.Despesas</v>
      </c>
      <c r="B47">
        <v>2</v>
      </c>
      <c r="C47" t="s">
        <v>12</v>
      </c>
      <c r="D47">
        <v>10</v>
      </c>
      <c r="E47" t="s">
        <v>54</v>
      </c>
      <c r="F47">
        <v>7</v>
      </c>
      <c r="G47" t="s">
        <v>61</v>
      </c>
      <c r="H47">
        <v>0</v>
      </c>
      <c r="I47" s="4">
        <v>46023</v>
      </c>
    </row>
    <row r="48" spans="1:9" x14ac:dyDescent="0.15">
      <c r="A48" t="str">
        <f t="shared" si="0"/>
        <v>2.Despesas</v>
      </c>
      <c r="B48">
        <v>2</v>
      </c>
      <c r="C48" t="s">
        <v>12</v>
      </c>
      <c r="D48">
        <v>10</v>
      </c>
      <c r="E48" t="s">
        <v>54</v>
      </c>
      <c r="F48">
        <v>8</v>
      </c>
      <c r="G48" t="s">
        <v>62</v>
      </c>
      <c r="H48">
        <v>53.35</v>
      </c>
      <c r="I48" s="4">
        <v>46023</v>
      </c>
    </row>
    <row r="49" spans="1:9" x14ac:dyDescent="0.15">
      <c r="A49" t="str">
        <f t="shared" si="0"/>
        <v>2.Despesas</v>
      </c>
      <c r="B49">
        <v>2</v>
      </c>
      <c r="C49" t="s">
        <v>12</v>
      </c>
      <c r="D49">
        <v>10</v>
      </c>
      <c r="E49" t="s">
        <v>54</v>
      </c>
      <c r="F49">
        <v>9</v>
      </c>
      <c r="G49" t="s">
        <v>63</v>
      </c>
      <c r="H49">
        <v>0</v>
      </c>
      <c r="I49" s="4">
        <v>46023</v>
      </c>
    </row>
    <row r="50" spans="1:9" x14ac:dyDescent="0.15">
      <c r="A50" t="str">
        <f t="shared" si="0"/>
        <v>2.Despesas</v>
      </c>
      <c r="B50">
        <v>2</v>
      </c>
      <c r="C50" t="s">
        <v>12</v>
      </c>
      <c r="D50">
        <v>11</v>
      </c>
      <c r="E50" t="s">
        <v>9</v>
      </c>
      <c r="F50">
        <v>1</v>
      </c>
      <c r="G50" t="s">
        <v>64</v>
      </c>
      <c r="H50">
        <v>6</v>
      </c>
      <c r="I50" s="4">
        <v>46023</v>
      </c>
    </row>
    <row r="51" spans="1:9" x14ac:dyDescent="0.15">
      <c r="A51" t="str">
        <f t="shared" si="0"/>
        <v>1.Receitas</v>
      </c>
      <c r="B51">
        <v>1</v>
      </c>
      <c r="C51" t="s">
        <v>0</v>
      </c>
      <c r="D51">
        <v>1</v>
      </c>
      <c r="E51" t="s">
        <v>1</v>
      </c>
      <c r="F51">
        <v>1</v>
      </c>
      <c r="G51" t="s">
        <v>2</v>
      </c>
      <c r="H51" s="1">
        <v>28899</v>
      </c>
      <c r="I51" s="4">
        <v>46054</v>
      </c>
    </row>
    <row r="52" spans="1:9" x14ac:dyDescent="0.15">
      <c r="A52" t="str">
        <f t="shared" si="0"/>
        <v>1.Receitas</v>
      </c>
      <c r="B52">
        <v>1</v>
      </c>
      <c r="C52" t="s">
        <v>0</v>
      </c>
      <c r="D52">
        <v>1</v>
      </c>
      <c r="E52" t="s">
        <v>1</v>
      </c>
      <c r="F52">
        <v>2</v>
      </c>
      <c r="G52" t="s">
        <v>3</v>
      </c>
      <c r="H52">
        <v>0</v>
      </c>
      <c r="I52" s="4">
        <v>46054</v>
      </c>
    </row>
    <row r="53" spans="1:9" x14ac:dyDescent="0.15">
      <c r="A53" t="str">
        <f t="shared" si="0"/>
        <v>1.Receitas</v>
      </c>
      <c r="B53">
        <v>1</v>
      </c>
      <c r="C53" t="s">
        <v>0</v>
      </c>
      <c r="D53">
        <v>2</v>
      </c>
      <c r="E53" t="s">
        <v>4</v>
      </c>
      <c r="F53">
        <v>1</v>
      </c>
      <c r="G53" t="s">
        <v>5</v>
      </c>
      <c r="H53">
        <v>0</v>
      </c>
      <c r="I53" s="4">
        <v>46054</v>
      </c>
    </row>
    <row r="54" spans="1:9" x14ac:dyDescent="0.15">
      <c r="A54" t="str">
        <f t="shared" si="0"/>
        <v>1.Receitas</v>
      </c>
      <c r="B54">
        <v>1</v>
      </c>
      <c r="C54" t="s">
        <v>0</v>
      </c>
      <c r="D54">
        <v>2</v>
      </c>
      <c r="E54" t="s">
        <v>4</v>
      </c>
      <c r="F54">
        <v>2</v>
      </c>
      <c r="G54" t="s">
        <v>6</v>
      </c>
      <c r="H54" s="1">
        <v>-2667.6</v>
      </c>
      <c r="I54" s="4">
        <v>46054</v>
      </c>
    </row>
    <row r="55" spans="1:9" x14ac:dyDescent="0.15">
      <c r="A55" t="str">
        <f t="shared" si="0"/>
        <v>1.Receitas</v>
      </c>
      <c r="B55">
        <v>1</v>
      </c>
      <c r="C55" t="s">
        <v>0</v>
      </c>
      <c r="D55">
        <v>3</v>
      </c>
      <c r="E55" t="s">
        <v>7</v>
      </c>
      <c r="F55">
        <v>1</v>
      </c>
      <c r="G55" t="s">
        <v>8</v>
      </c>
      <c r="H55">
        <v>287.45</v>
      </c>
      <c r="I55" s="4">
        <v>46054</v>
      </c>
    </row>
    <row r="56" spans="1:9" x14ac:dyDescent="0.15">
      <c r="A56" t="str">
        <f t="shared" si="0"/>
        <v>1.Receitas</v>
      </c>
      <c r="B56">
        <v>1</v>
      </c>
      <c r="C56" t="s">
        <v>0</v>
      </c>
      <c r="D56">
        <v>4</v>
      </c>
      <c r="E56" t="s">
        <v>9</v>
      </c>
      <c r="F56">
        <v>1</v>
      </c>
      <c r="G56" t="s">
        <v>10</v>
      </c>
      <c r="H56">
        <v>2.19</v>
      </c>
      <c r="I56" s="4">
        <v>46054</v>
      </c>
    </row>
    <row r="57" spans="1:9" x14ac:dyDescent="0.15">
      <c r="A57" t="str">
        <f t="shared" si="0"/>
        <v>1.Receitas</v>
      </c>
      <c r="B57">
        <v>1</v>
      </c>
      <c r="C57" t="s">
        <v>0</v>
      </c>
      <c r="D57">
        <v>4</v>
      </c>
      <c r="E57" t="s">
        <v>9</v>
      </c>
      <c r="F57">
        <v>2</v>
      </c>
      <c r="G57" t="s">
        <v>11</v>
      </c>
      <c r="H57">
        <v>44.46</v>
      </c>
      <c r="I57" s="4">
        <v>46054</v>
      </c>
    </row>
    <row r="58" spans="1:9" x14ac:dyDescent="0.15">
      <c r="A58" t="str">
        <f t="shared" si="0"/>
        <v>2.Despesas</v>
      </c>
      <c r="B58">
        <v>2</v>
      </c>
      <c r="C58" t="s">
        <v>12</v>
      </c>
      <c r="D58">
        <v>1</v>
      </c>
      <c r="E58" t="s">
        <v>13</v>
      </c>
      <c r="F58">
        <v>1</v>
      </c>
      <c r="G58" t="s">
        <v>14</v>
      </c>
      <c r="H58" s="1">
        <v>6585.35</v>
      </c>
      <c r="I58" s="4">
        <v>46054</v>
      </c>
    </row>
    <row r="59" spans="1:9" x14ac:dyDescent="0.15">
      <c r="A59" t="str">
        <f t="shared" si="0"/>
        <v>2.Despesas</v>
      </c>
      <c r="B59">
        <v>2</v>
      </c>
      <c r="C59" t="s">
        <v>12</v>
      </c>
      <c r="D59">
        <v>1</v>
      </c>
      <c r="E59" t="s">
        <v>13</v>
      </c>
      <c r="F59">
        <v>2</v>
      </c>
      <c r="G59" t="s">
        <v>15</v>
      </c>
      <c r="H59" s="1">
        <v>1691.16</v>
      </c>
      <c r="I59" s="4">
        <v>46054</v>
      </c>
    </row>
    <row r="60" spans="1:9" x14ac:dyDescent="0.15">
      <c r="A60" t="str">
        <f t="shared" si="0"/>
        <v>2.Despesas</v>
      </c>
      <c r="B60">
        <v>2</v>
      </c>
      <c r="C60" t="s">
        <v>12</v>
      </c>
      <c r="D60">
        <v>1</v>
      </c>
      <c r="E60" t="s">
        <v>13</v>
      </c>
      <c r="F60">
        <v>3</v>
      </c>
      <c r="G60" t="s">
        <v>16</v>
      </c>
      <c r="H60" s="1">
        <v>2816.97</v>
      </c>
      <c r="I60" s="4">
        <v>46054</v>
      </c>
    </row>
    <row r="61" spans="1:9" x14ac:dyDescent="0.15">
      <c r="A61" t="str">
        <f t="shared" si="0"/>
        <v>2.Despesas</v>
      </c>
      <c r="B61">
        <v>2</v>
      </c>
      <c r="C61" t="s">
        <v>12</v>
      </c>
      <c r="D61">
        <v>1</v>
      </c>
      <c r="E61" t="s">
        <v>13</v>
      </c>
      <c r="F61">
        <v>4</v>
      </c>
      <c r="G61" t="s">
        <v>17</v>
      </c>
      <c r="H61">
        <v>567.29</v>
      </c>
      <c r="I61" s="4">
        <v>46054</v>
      </c>
    </row>
    <row r="62" spans="1:9" x14ac:dyDescent="0.15">
      <c r="A62" t="str">
        <f t="shared" si="0"/>
        <v>2.Despesas</v>
      </c>
      <c r="B62">
        <v>2</v>
      </c>
      <c r="C62" t="s">
        <v>12</v>
      </c>
      <c r="D62">
        <v>1</v>
      </c>
      <c r="E62" t="s">
        <v>13</v>
      </c>
      <c r="F62">
        <v>5</v>
      </c>
      <c r="G62" t="s">
        <v>18</v>
      </c>
      <c r="H62">
        <v>620</v>
      </c>
      <c r="I62" s="4">
        <v>46054</v>
      </c>
    </row>
    <row r="63" spans="1:9" x14ac:dyDescent="0.15">
      <c r="A63" t="str">
        <f t="shared" si="0"/>
        <v>2.Despesas</v>
      </c>
      <c r="B63">
        <v>2</v>
      </c>
      <c r="C63" t="s">
        <v>12</v>
      </c>
      <c r="D63">
        <v>1</v>
      </c>
      <c r="E63" t="s">
        <v>13</v>
      </c>
      <c r="F63">
        <v>6</v>
      </c>
      <c r="G63" t="s">
        <v>19</v>
      </c>
      <c r="H63">
        <v>162</v>
      </c>
      <c r="I63" s="4">
        <v>46054</v>
      </c>
    </row>
    <row r="64" spans="1:9" x14ac:dyDescent="0.15">
      <c r="A64" t="str">
        <f t="shared" si="0"/>
        <v>2.Despesas</v>
      </c>
      <c r="B64">
        <v>2</v>
      </c>
      <c r="C64" t="s">
        <v>12</v>
      </c>
      <c r="D64">
        <v>1</v>
      </c>
      <c r="E64" t="s">
        <v>13</v>
      </c>
      <c r="F64">
        <v>7</v>
      </c>
      <c r="G64" t="s">
        <v>20</v>
      </c>
      <c r="H64">
        <v>172.8</v>
      </c>
      <c r="I64" s="4">
        <v>46054</v>
      </c>
    </row>
    <row r="65" spans="1:9" x14ac:dyDescent="0.15">
      <c r="A65" t="str">
        <f t="shared" si="0"/>
        <v>2.Despesas</v>
      </c>
      <c r="B65">
        <v>2</v>
      </c>
      <c r="C65" t="s">
        <v>12</v>
      </c>
      <c r="D65">
        <v>1</v>
      </c>
      <c r="E65" t="s">
        <v>13</v>
      </c>
      <c r="F65">
        <v>8</v>
      </c>
      <c r="G65" t="s">
        <v>21</v>
      </c>
      <c r="H65" s="1">
        <v>1003.99</v>
      </c>
      <c r="I65" s="4">
        <v>46054</v>
      </c>
    </row>
    <row r="66" spans="1:9" x14ac:dyDescent="0.15">
      <c r="A66" t="str">
        <f t="shared" si="0"/>
        <v>2.Despesas</v>
      </c>
      <c r="B66">
        <v>2</v>
      </c>
      <c r="C66" t="s">
        <v>12</v>
      </c>
      <c r="D66">
        <v>1</v>
      </c>
      <c r="E66" t="s">
        <v>13</v>
      </c>
      <c r="F66">
        <v>9</v>
      </c>
      <c r="G66" t="s">
        <v>22</v>
      </c>
      <c r="H66">
        <v>76.239999999999995</v>
      </c>
      <c r="I66" s="4">
        <v>46054</v>
      </c>
    </row>
    <row r="67" spans="1:9" x14ac:dyDescent="0.15">
      <c r="A67" t="str">
        <f t="shared" ref="A67:A130" si="1">_xlfn.CONCAT(B67,".",C67)</f>
        <v>2.Despesas</v>
      </c>
      <c r="B67">
        <v>2</v>
      </c>
      <c r="C67" t="s">
        <v>12</v>
      </c>
      <c r="D67">
        <v>1</v>
      </c>
      <c r="E67" t="s">
        <v>13</v>
      </c>
      <c r="F67">
        <v>10</v>
      </c>
      <c r="G67" t="s">
        <v>23</v>
      </c>
      <c r="H67">
        <v>0</v>
      </c>
      <c r="I67" s="4">
        <v>46054</v>
      </c>
    </row>
    <row r="68" spans="1:9" x14ac:dyDescent="0.15">
      <c r="A68" t="str">
        <f t="shared" si="1"/>
        <v>2.Despesas</v>
      </c>
      <c r="B68">
        <v>2</v>
      </c>
      <c r="C68" t="s">
        <v>12</v>
      </c>
      <c r="D68">
        <v>1</v>
      </c>
      <c r="E68" t="s">
        <v>13</v>
      </c>
      <c r="F68">
        <v>11</v>
      </c>
      <c r="G68" t="s">
        <v>24</v>
      </c>
      <c r="H68" s="1">
        <v>2800</v>
      </c>
      <c r="I68" s="4">
        <v>46054</v>
      </c>
    </row>
    <row r="69" spans="1:9" x14ac:dyDescent="0.15">
      <c r="A69" t="str">
        <f t="shared" si="1"/>
        <v>2.Despesas</v>
      </c>
      <c r="B69">
        <v>2</v>
      </c>
      <c r="C69" t="s">
        <v>12</v>
      </c>
      <c r="D69">
        <v>2</v>
      </c>
      <c r="E69" t="s">
        <v>25</v>
      </c>
      <c r="F69">
        <v>1</v>
      </c>
      <c r="G69" t="s">
        <v>26</v>
      </c>
      <c r="H69" s="1">
        <v>1181.18</v>
      </c>
      <c r="I69" s="4">
        <v>46054</v>
      </c>
    </row>
    <row r="70" spans="1:9" x14ac:dyDescent="0.15">
      <c r="A70" t="str">
        <f t="shared" si="1"/>
        <v>2.Despesas</v>
      </c>
      <c r="B70">
        <v>2</v>
      </c>
      <c r="C70" t="s">
        <v>12</v>
      </c>
      <c r="D70">
        <v>2</v>
      </c>
      <c r="E70" t="s">
        <v>25</v>
      </c>
      <c r="F70">
        <v>2</v>
      </c>
      <c r="G70" t="s">
        <v>27</v>
      </c>
      <c r="H70" s="1">
        <v>6226.24</v>
      </c>
      <c r="I70" s="4">
        <v>46054</v>
      </c>
    </row>
    <row r="71" spans="1:9" x14ac:dyDescent="0.15">
      <c r="A71" t="str">
        <f t="shared" si="1"/>
        <v>2.Despesas</v>
      </c>
      <c r="B71">
        <v>2</v>
      </c>
      <c r="C71" t="s">
        <v>12</v>
      </c>
      <c r="D71">
        <v>2</v>
      </c>
      <c r="E71" t="s">
        <v>25</v>
      </c>
      <c r="F71">
        <v>3</v>
      </c>
      <c r="G71" t="s">
        <v>28</v>
      </c>
      <c r="H71">
        <v>124.99</v>
      </c>
      <c r="I71" s="4">
        <v>46054</v>
      </c>
    </row>
    <row r="72" spans="1:9" x14ac:dyDescent="0.15">
      <c r="A72" t="str">
        <f t="shared" si="1"/>
        <v>2.Despesas</v>
      </c>
      <c r="B72">
        <v>2</v>
      </c>
      <c r="C72" t="s">
        <v>12</v>
      </c>
      <c r="D72">
        <v>3</v>
      </c>
      <c r="E72" t="s">
        <v>29</v>
      </c>
      <c r="F72">
        <v>1</v>
      </c>
      <c r="G72" t="s">
        <v>30</v>
      </c>
      <c r="H72">
        <v>650</v>
      </c>
      <c r="I72" s="4">
        <v>46054</v>
      </c>
    </row>
    <row r="73" spans="1:9" x14ac:dyDescent="0.15">
      <c r="A73" t="str">
        <f t="shared" si="1"/>
        <v>2.Despesas</v>
      </c>
      <c r="B73">
        <v>2</v>
      </c>
      <c r="C73" t="s">
        <v>12</v>
      </c>
      <c r="D73">
        <v>3</v>
      </c>
      <c r="E73" t="s">
        <v>29</v>
      </c>
      <c r="F73">
        <v>2</v>
      </c>
      <c r="G73" t="s">
        <v>31</v>
      </c>
      <c r="H73" s="1">
        <v>1010</v>
      </c>
      <c r="I73" s="4">
        <v>46054</v>
      </c>
    </row>
    <row r="74" spans="1:9" x14ac:dyDescent="0.15">
      <c r="A74" t="str">
        <f t="shared" si="1"/>
        <v>2.Despesas</v>
      </c>
      <c r="B74">
        <v>2</v>
      </c>
      <c r="C74" t="s">
        <v>12</v>
      </c>
      <c r="D74">
        <v>4</v>
      </c>
      <c r="E74" t="s">
        <v>32</v>
      </c>
      <c r="F74">
        <v>1</v>
      </c>
      <c r="G74" t="s">
        <v>33</v>
      </c>
      <c r="H74">
        <v>349.31</v>
      </c>
      <c r="I74" s="4">
        <v>46054</v>
      </c>
    </row>
    <row r="75" spans="1:9" x14ac:dyDescent="0.15">
      <c r="A75" t="str">
        <f t="shared" si="1"/>
        <v>2.Despesas</v>
      </c>
      <c r="B75">
        <v>2</v>
      </c>
      <c r="C75" t="s">
        <v>12</v>
      </c>
      <c r="D75">
        <v>5</v>
      </c>
      <c r="E75" t="s">
        <v>34</v>
      </c>
      <c r="F75">
        <v>1</v>
      </c>
      <c r="G75" t="s">
        <v>35</v>
      </c>
      <c r="H75">
        <v>573.35</v>
      </c>
      <c r="I75" s="4">
        <v>46054</v>
      </c>
    </row>
    <row r="76" spans="1:9" x14ac:dyDescent="0.15">
      <c r="A76" t="str">
        <f t="shared" si="1"/>
        <v>2.Despesas</v>
      </c>
      <c r="B76">
        <v>2</v>
      </c>
      <c r="C76" t="s">
        <v>12</v>
      </c>
      <c r="D76">
        <v>5</v>
      </c>
      <c r="E76" t="s">
        <v>34</v>
      </c>
      <c r="F76">
        <v>2</v>
      </c>
      <c r="G76" t="s">
        <v>36</v>
      </c>
      <c r="H76">
        <v>1.8</v>
      </c>
      <c r="I76" s="4">
        <v>46054</v>
      </c>
    </row>
    <row r="77" spans="1:9" x14ac:dyDescent="0.15">
      <c r="A77" t="str">
        <f t="shared" si="1"/>
        <v>2.Despesas</v>
      </c>
      <c r="B77">
        <v>2</v>
      </c>
      <c r="C77" t="s">
        <v>12</v>
      </c>
      <c r="D77">
        <v>6</v>
      </c>
      <c r="E77" t="s">
        <v>37</v>
      </c>
      <c r="F77">
        <v>1</v>
      </c>
      <c r="G77" t="s">
        <v>38</v>
      </c>
      <c r="H77">
        <v>66.430000000000007</v>
      </c>
      <c r="I77" s="4">
        <v>46054</v>
      </c>
    </row>
    <row r="78" spans="1:9" x14ac:dyDescent="0.15">
      <c r="A78" t="str">
        <f t="shared" si="1"/>
        <v>2.Despesas</v>
      </c>
      <c r="B78">
        <v>2</v>
      </c>
      <c r="C78" t="s">
        <v>12</v>
      </c>
      <c r="D78">
        <v>7</v>
      </c>
      <c r="E78" t="s">
        <v>39</v>
      </c>
      <c r="F78">
        <v>1</v>
      </c>
      <c r="G78" t="s">
        <v>40</v>
      </c>
      <c r="H78">
        <v>22</v>
      </c>
      <c r="I78" s="4">
        <v>46054</v>
      </c>
    </row>
    <row r="79" spans="1:9" x14ac:dyDescent="0.15">
      <c r="A79" t="str">
        <f t="shared" si="1"/>
        <v>2.Despesas</v>
      </c>
      <c r="B79">
        <v>2</v>
      </c>
      <c r="C79" t="s">
        <v>12</v>
      </c>
      <c r="D79">
        <v>7</v>
      </c>
      <c r="E79" t="s">
        <v>39</v>
      </c>
      <c r="F79">
        <v>2</v>
      </c>
      <c r="G79" t="s">
        <v>41</v>
      </c>
      <c r="H79">
        <v>16.86</v>
      </c>
      <c r="I79" s="4">
        <v>46054</v>
      </c>
    </row>
    <row r="80" spans="1:9" x14ac:dyDescent="0.15">
      <c r="A80" t="str">
        <f t="shared" si="1"/>
        <v>2.Despesas</v>
      </c>
      <c r="B80">
        <v>2</v>
      </c>
      <c r="C80" t="s">
        <v>12</v>
      </c>
      <c r="D80">
        <v>8</v>
      </c>
      <c r="E80" t="s">
        <v>42</v>
      </c>
      <c r="F80">
        <v>1</v>
      </c>
      <c r="G80" t="s">
        <v>43</v>
      </c>
      <c r="H80" s="1">
        <v>1239.07</v>
      </c>
      <c r="I80" s="4">
        <v>46054</v>
      </c>
    </row>
    <row r="81" spans="1:9" x14ac:dyDescent="0.15">
      <c r="A81" t="str">
        <f t="shared" si="1"/>
        <v>2.Despesas</v>
      </c>
      <c r="B81">
        <v>2</v>
      </c>
      <c r="C81" t="s">
        <v>12</v>
      </c>
      <c r="D81">
        <v>8</v>
      </c>
      <c r="E81" t="s">
        <v>42</v>
      </c>
      <c r="F81">
        <v>2</v>
      </c>
      <c r="G81" t="s">
        <v>44</v>
      </c>
      <c r="H81">
        <v>0</v>
      </c>
      <c r="I81" s="4">
        <v>46054</v>
      </c>
    </row>
    <row r="82" spans="1:9" x14ac:dyDescent="0.15">
      <c r="A82" t="str">
        <f t="shared" si="1"/>
        <v>2.Despesas</v>
      </c>
      <c r="B82">
        <v>2</v>
      </c>
      <c r="C82" t="s">
        <v>12</v>
      </c>
      <c r="D82">
        <v>8</v>
      </c>
      <c r="E82" t="s">
        <v>42</v>
      </c>
      <c r="F82">
        <v>3</v>
      </c>
      <c r="G82" t="s">
        <v>45</v>
      </c>
      <c r="H82">
        <v>0</v>
      </c>
      <c r="I82" s="4">
        <v>46054</v>
      </c>
    </row>
    <row r="83" spans="1:9" x14ac:dyDescent="0.15">
      <c r="A83" t="str">
        <f t="shared" si="1"/>
        <v>2.Despesas</v>
      </c>
      <c r="B83">
        <v>2</v>
      </c>
      <c r="C83" t="s">
        <v>12</v>
      </c>
      <c r="D83">
        <v>8</v>
      </c>
      <c r="E83" t="s">
        <v>42</v>
      </c>
      <c r="F83">
        <v>4</v>
      </c>
      <c r="G83" t="s">
        <v>46</v>
      </c>
      <c r="H83">
        <v>0</v>
      </c>
      <c r="I83" s="4">
        <v>46054</v>
      </c>
    </row>
    <row r="84" spans="1:9" x14ac:dyDescent="0.15">
      <c r="A84" t="str">
        <f t="shared" si="1"/>
        <v>2.Despesas</v>
      </c>
      <c r="B84">
        <v>2</v>
      </c>
      <c r="C84" t="s">
        <v>12</v>
      </c>
      <c r="D84">
        <v>8</v>
      </c>
      <c r="E84" t="s">
        <v>42</v>
      </c>
      <c r="F84">
        <v>5</v>
      </c>
      <c r="G84" t="s">
        <v>47</v>
      </c>
      <c r="H84">
        <v>200</v>
      </c>
      <c r="I84" s="4">
        <v>46054</v>
      </c>
    </row>
    <row r="85" spans="1:9" x14ac:dyDescent="0.15">
      <c r="A85" t="str">
        <f t="shared" si="1"/>
        <v>2.Despesas</v>
      </c>
      <c r="B85">
        <v>2</v>
      </c>
      <c r="C85" t="s">
        <v>12</v>
      </c>
      <c r="D85">
        <v>9</v>
      </c>
      <c r="E85" t="s">
        <v>48</v>
      </c>
      <c r="F85">
        <v>1</v>
      </c>
      <c r="G85" t="s">
        <v>49</v>
      </c>
      <c r="H85">
        <v>700</v>
      </c>
      <c r="I85" s="4">
        <v>46054</v>
      </c>
    </row>
    <row r="86" spans="1:9" x14ac:dyDescent="0.15">
      <c r="A86" t="str">
        <f t="shared" si="1"/>
        <v>2.Despesas</v>
      </c>
      <c r="B86">
        <v>2</v>
      </c>
      <c r="C86" t="s">
        <v>12</v>
      </c>
      <c r="D86">
        <v>9</v>
      </c>
      <c r="E86" t="s">
        <v>48</v>
      </c>
      <c r="F86">
        <v>2</v>
      </c>
      <c r="G86" t="s">
        <v>50</v>
      </c>
      <c r="H86">
        <v>0</v>
      </c>
      <c r="I86" s="4">
        <v>46054</v>
      </c>
    </row>
    <row r="87" spans="1:9" x14ac:dyDescent="0.15">
      <c r="A87" t="str">
        <f t="shared" si="1"/>
        <v>2.Despesas</v>
      </c>
      <c r="B87">
        <v>2</v>
      </c>
      <c r="C87" t="s">
        <v>12</v>
      </c>
      <c r="D87">
        <v>9</v>
      </c>
      <c r="E87" t="s">
        <v>48</v>
      </c>
      <c r="F87">
        <v>3</v>
      </c>
      <c r="G87" t="s">
        <v>51</v>
      </c>
      <c r="H87">
        <v>300</v>
      </c>
      <c r="I87" s="4">
        <v>46054</v>
      </c>
    </row>
    <row r="88" spans="1:9" x14ac:dyDescent="0.15">
      <c r="A88" t="str">
        <f t="shared" si="1"/>
        <v>2.Despesas</v>
      </c>
      <c r="B88">
        <v>2</v>
      </c>
      <c r="C88" t="s">
        <v>12</v>
      </c>
      <c r="D88">
        <v>9</v>
      </c>
      <c r="E88" t="s">
        <v>48</v>
      </c>
      <c r="F88">
        <v>4</v>
      </c>
      <c r="G88" t="s">
        <v>52</v>
      </c>
      <c r="H88">
        <v>94.32</v>
      </c>
      <c r="I88" s="4">
        <v>46054</v>
      </c>
    </row>
    <row r="89" spans="1:9" x14ac:dyDescent="0.15">
      <c r="A89" t="str">
        <f t="shared" si="1"/>
        <v>2.Despesas</v>
      </c>
      <c r="B89">
        <v>2</v>
      </c>
      <c r="C89" t="s">
        <v>12</v>
      </c>
      <c r="D89">
        <v>9</v>
      </c>
      <c r="E89" t="s">
        <v>48</v>
      </c>
      <c r="F89">
        <v>5</v>
      </c>
      <c r="G89" t="s">
        <v>53</v>
      </c>
      <c r="H89">
        <v>0</v>
      </c>
      <c r="I89" s="4">
        <v>46054</v>
      </c>
    </row>
    <row r="90" spans="1:9" x14ac:dyDescent="0.15">
      <c r="A90" t="str">
        <f t="shared" si="1"/>
        <v>2.Despesas</v>
      </c>
      <c r="B90">
        <v>2</v>
      </c>
      <c r="C90" t="s">
        <v>12</v>
      </c>
      <c r="D90">
        <v>10</v>
      </c>
      <c r="E90" t="s">
        <v>54</v>
      </c>
      <c r="F90">
        <v>1</v>
      </c>
      <c r="G90" t="s">
        <v>55</v>
      </c>
      <c r="H90">
        <v>126.5</v>
      </c>
      <c r="I90" s="4">
        <v>46054</v>
      </c>
    </row>
    <row r="91" spans="1:9" x14ac:dyDescent="0.15">
      <c r="A91" t="str">
        <f t="shared" si="1"/>
        <v>2.Despesas</v>
      </c>
      <c r="B91">
        <v>2</v>
      </c>
      <c r="C91" t="s">
        <v>12</v>
      </c>
      <c r="D91">
        <v>10</v>
      </c>
      <c r="E91" t="s">
        <v>54</v>
      </c>
      <c r="F91">
        <v>2</v>
      </c>
      <c r="G91" t="s">
        <v>56</v>
      </c>
      <c r="H91">
        <v>103.2</v>
      </c>
      <c r="I91" s="4">
        <v>46054</v>
      </c>
    </row>
    <row r="92" spans="1:9" x14ac:dyDescent="0.15">
      <c r="A92" t="str">
        <f t="shared" si="1"/>
        <v>2.Despesas</v>
      </c>
      <c r="B92">
        <v>2</v>
      </c>
      <c r="C92" t="s">
        <v>12</v>
      </c>
      <c r="D92">
        <v>10</v>
      </c>
      <c r="E92" t="s">
        <v>54</v>
      </c>
      <c r="F92">
        <v>3</v>
      </c>
      <c r="G92" t="s">
        <v>57</v>
      </c>
      <c r="H92">
        <v>156.78</v>
      </c>
      <c r="I92" s="4">
        <v>46054</v>
      </c>
    </row>
    <row r="93" spans="1:9" x14ac:dyDescent="0.15">
      <c r="A93" t="str">
        <f t="shared" si="1"/>
        <v>2.Despesas</v>
      </c>
      <c r="B93">
        <v>2</v>
      </c>
      <c r="C93" t="s">
        <v>12</v>
      </c>
      <c r="D93">
        <v>10</v>
      </c>
      <c r="E93" t="s">
        <v>54</v>
      </c>
      <c r="F93">
        <v>4</v>
      </c>
      <c r="G93" t="s">
        <v>58</v>
      </c>
      <c r="H93">
        <v>217.55</v>
      </c>
      <c r="I93" s="4">
        <v>46054</v>
      </c>
    </row>
    <row r="94" spans="1:9" x14ac:dyDescent="0.15">
      <c r="A94" t="str">
        <f t="shared" si="1"/>
        <v>2.Despesas</v>
      </c>
      <c r="B94">
        <v>2</v>
      </c>
      <c r="C94" t="s">
        <v>12</v>
      </c>
      <c r="D94">
        <v>10</v>
      </c>
      <c r="E94" t="s">
        <v>54</v>
      </c>
      <c r="F94">
        <v>5</v>
      </c>
      <c r="G94" t="s">
        <v>59</v>
      </c>
      <c r="H94">
        <v>45.8</v>
      </c>
      <c r="I94" s="4">
        <v>46054</v>
      </c>
    </row>
    <row r="95" spans="1:9" x14ac:dyDescent="0.15">
      <c r="A95" t="str">
        <f t="shared" si="1"/>
        <v>2.Despesas</v>
      </c>
      <c r="B95">
        <v>2</v>
      </c>
      <c r="C95" t="s">
        <v>12</v>
      </c>
      <c r="D95">
        <v>10</v>
      </c>
      <c r="E95" t="s">
        <v>54</v>
      </c>
      <c r="F95">
        <v>6</v>
      </c>
      <c r="G95" t="s">
        <v>60</v>
      </c>
      <c r="H95">
        <v>0</v>
      </c>
      <c r="I95" s="4">
        <v>46054</v>
      </c>
    </row>
    <row r="96" spans="1:9" x14ac:dyDescent="0.15">
      <c r="A96" t="str">
        <f t="shared" si="1"/>
        <v>2.Despesas</v>
      </c>
      <c r="B96">
        <v>2</v>
      </c>
      <c r="C96" t="s">
        <v>12</v>
      </c>
      <c r="D96">
        <v>10</v>
      </c>
      <c r="E96" t="s">
        <v>54</v>
      </c>
      <c r="F96">
        <v>7</v>
      </c>
      <c r="G96" t="s">
        <v>61</v>
      </c>
      <c r="H96">
        <v>265.33999999999997</v>
      </c>
      <c r="I96" s="4">
        <v>46054</v>
      </c>
    </row>
    <row r="97" spans="1:9" x14ac:dyDescent="0.15">
      <c r="A97" t="str">
        <f t="shared" si="1"/>
        <v>2.Despesas</v>
      </c>
      <c r="B97">
        <v>2</v>
      </c>
      <c r="C97" t="s">
        <v>12</v>
      </c>
      <c r="D97">
        <v>10</v>
      </c>
      <c r="E97" t="s">
        <v>54</v>
      </c>
      <c r="F97">
        <v>8</v>
      </c>
      <c r="G97" t="s">
        <v>62</v>
      </c>
      <c r="H97">
        <v>0</v>
      </c>
      <c r="I97" s="4">
        <v>46054</v>
      </c>
    </row>
    <row r="98" spans="1:9" x14ac:dyDescent="0.15">
      <c r="A98" t="str">
        <f t="shared" si="1"/>
        <v>2.Despesas</v>
      </c>
      <c r="B98">
        <v>2</v>
      </c>
      <c r="C98" t="s">
        <v>12</v>
      </c>
      <c r="D98">
        <v>10</v>
      </c>
      <c r="E98" t="s">
        <v>54</v>
      </c>
      <c r="F98">
        <v>9</v>
      </c>
      <c r="G98" t="s">
        <v>63</v>
      </c>
      <c r="H98">
        <v>240.18</v>
      </c>
      <c r="I98" s="4">
        <v>46054</v>
      </c>
    </row>
    <row r="99" spans="1:9" x14ac:dyDescent="0.15">
      <c r="A99" t="str">
        <f t="shared" si="1"/>
        <v>2.Despesas</v>
      </c>
      <c r="B99">
        <v>2</v>
      </c>
      <c r="C99" t="s">
        <v>12</v>
      </c>
      <c r="D99">
        <v>11</v>
      </c>
      <c r="E99" t="s">
        <v>9</v>
      </c>
      <c r="F99">
        <v>1</v>
      </c>
      <c r="G99" t="s">
        <v>64</v>
      </c>
      <c r="H99">
        <v>27.68</v>
      </c>
      <c r="I99" s="4">
        <v>46054</v>
      </c>
    </row>
    <row r="100" spans="1:9" x14ac:dyDescent="0.15">
      <c r="A100" t="str">
        <f t="shared" si="1"/>
        <v>1.Receitas</v>
      </c>
      <c r="B100">
        <v>1</v>
      </c>
      <c r="C100" t="s">
        <v>0</v>
      </c>
      <c r="D100">
        <v>1</v>
      </c>
      <c r="E100" t="s">
        <v>1</v>
      </c>
      <c r="F100">
        <v>1</v>
      </c>
      <c r="G100" t="s">
        <v>2</v>
      </c>
      <c r="H100" s="1">
        <v>31122</v>
      </c>
      <c r="I100" s="4">
        <v>46082</v>
      </c>
    </row>
    <row r="101" spans="1:9" x14ac:dyDescent="0.15">
      <c r="A101" t="str">
        <f t="shared" si="1"/>
        <v>1.Receitas</v>
      </c>
      <c r="B101">
        <v>1</v>
      </c>
      <c r="C101" t="s">
        <v>0</v>
      </c>
      <c r="D101">
        <v>1</v>
      </c>
      <c r="E101" t="s">
        <v>1</v>
      </c>
      <c r="F101">
        <v>2</v>
      </c>
      <c r="G101" t="s">
        <v>3</v>
      </c>
      <c r="H101" s="1">
        <v>2223</v>
      </c>
      <c r="I101" s="4">
        <v>46082</v>
      </c>
    </row>
    <row r="102" spans="1:9" x14ac:dyDescent="0.15">
      <c r="A102" t="str">
        <f t="shared" si="1"/>
        <v>1.Receitas</v>
      </c>
      <c r="B102">
        <v>1</v>
      </c>
      <c r="C102" t="s">
        <v>0</v>
      </c>
      <c r="D102">
        <v>2</v>
      </c>
      <c r="E102" t="s">
        <v>4</v>
      </c>
      <c r="F102">
        <v>1</v>
      </c>
      <c r="G102" t="s">
        <v>5</v>
      </c>
      <c r="H102" s="1">
        <v>1404.26</v>
      </c>
      <c r="I102" s="4">
        <v>46082</v>
      </c>
    </row>
    <row r="103" spans="1:9" x14ac:dyDescent="0.15">
      <c r="A103" t="str">
        <f t="shared" si="1"/>
        <v>1.Receitas</v>
      </c>
      <c r="B103">
        <v>1</v>
      </c>
      <c r="C103" t="s">
        <v>0</v>
      </c>
      <c r="D103">
        <v>2</v>
      </c>
      <c r="E103" t="s">
        <v>4</v>
      </c>
      <c r="F103">
        <v>2</v>
      </c>
      <c r="G103" t="s">
        <v>6</v>
      </c>
      <c r="H103" s="1">
        <v>-3112.2</v>
      </c>
      <c r="I103" s="4">
        <v>46082</v>
      </c>
    </row>
    <row r="104" spans="1:9" x14ac:dyDescent="0.15">
      <c r="A104" t="str">
        <f t="shared" si="1"/>
        <v>1.Receitas</v>
      </c>
      <c r="B104">
        <v>1</v>
      </c>
      <c r="C104" t="s">
        <v>0</v>
      </c>
      <c r="D104">
        <v>3</v>
      </c>
      <c r="E104" t="s">
        <v>7</v>
      </c>
      <c r="F104">
        <v>1</v>
      </c>
      <c r="G104" t="s">
        <v>8</v>
      </c>
      <c r="H104">
        <v>348.91</v>
      </c>
      <c r="I104" s="4">
        <v>46082</v>
      </c>
    </row>
    <row r="105" spans="1:9" x14ac:dyDescent="0.15">
      <c r="A105" t="str">
        <f t="shared" si="1"/>
        <v>1.Receitas</v>
      </c>
      <c r="B105">
        <v>1</v>
      </c>
      <c r="C105" t="s">
        <v>0</v>
      </c>
      <c r="D105">
        <v>4</v>
      </c>
      <c r="E105" t="s">
        <v>9</v>
      </c>
      <c r="F105">
        <v>1</v>
      </c>
      <c r="G105" t="s">
        <v>10</v>
      </c>
      <c r="H105">
        <v>26.28</v>
      </c>
      <c r="I105" s="4">
        <v>46082</v>
      </c>
    </row>
    <row r="106" spans="1:9" x14ac:dyDescent="0.15">
      <c r="A106" t="str">
        <f t="shared" si="1"/>
        <v>1.Receitas</v>
      </c>
      <c r="B106">
        <v>1</v>
      </c>
      <c r="C106" t="s">
        <v>0</v>
      </c>
      <c r="D106">
        <v>4</v>
      </c>
      <c r="E106" t="s">
        <v>9</v>
      </c>
      <c r="F106">
        <v>2</v>
      </c>
      <c r="G106" t="s">
        <v>11</v>
      </c>
      <c r="H106">
        <v>44.46</v>
      </c>
      <c r="I106" s="4">
        <v>46082</v>
      </c>
    </row>
    <row r="107" spans="1:9" x14ac:dyDescent="0.15">
      <c r="A107" t="str">
        <f t="shared" si="1"/>
        <v>2.Despesas</v>
      </c>
      <c r="B107">
        <v>2</v>
      </c>
      <c r="C107" t="s">
        <v>12</v>
      </c>
      <c r="D107">
        <v>1</v>
      </c>
      <c r="E107" t="s">
        <v>13</v>
      </c>
      <c r="F107">
        <v>1</v>
      </c>
      <c r="G107" t="s">
        <v>14</v>
      </c>
      <c r="H107" s="1">
        <v>7176.24</v>
      </c>
      <c r="I107" s="4">
        <v>46082</v>
      </c>
    </row>
    <row r="108" spans="1:9" x14ac:dyDescent="0.15">
      <c r="A108" t="str">
        <f t="shared" si="1"/>
        <v>2.Despesas</v>
      </c>
      <c r="B108">
        <v>2</v>
      </c>
      <c r="C108" t="s">
        <v>12</v>
      </c>
      <c r="D108">
        <v>1</v>
      </c>
      <c r="E108" t="s">
        <v>13</v>
      </c>
      <c r="F108">
        <v>2</v>
      </c>
      <c r="G108" t="s">
        <v>15</v>
      </c>
      <c r="H108">
        <v>0</v>
      </c>
      <c r="I108" s="4">
        <v>46082</v>
      </c>
    </row>
    <row r="109" spans="1:9" x14ac:dyDescent="0.15">
      <c r="A109" t="str">
        <f t="shared" si="1"/>
        <v>2.Despesas</v>
      </c>
      <c r="B109">
        <v>2</v>
      </c>
      <c r="C109" t="s">
        <v>12</v>
      </c>
      <c r="D109">
        <v>1</v>
      </c>
      <c r="E109" t="s">
        <v>13</v>
      </c>
      <c r="F109">
        <v>3</v>
      </c>
      <c r="G109" t="s">
        <v>16</v>
      </c>
      <c r="H109" s="1">
        <v>2737.81</v>
      </c>
      <c r="I109" s="4">
        <v>46082</v>
      </c>
    </row>
    <row r="110" spans="1:9" x14ac:dyDescent="0.15">
      <c r="A110" t="str">
        <f t="shared" si="1"/>
        <v>2.Despesas</v>
      </c>
      <c r="B110">
        <v>2</v>
      </c>
      <c r="C110" t="s">
        <v>12</v>
      </c>
      <c r="D110">
        <v>1</v>
      </c>
      <c r="E110" t="s">
        <v>13</v>
      </c>
      <c r="F110">
        <v>4</v>
      </c>
      <c r="G110" t="s">
        <v>17</v>
      </c>
      <c r="H110">
        <v>525.52</v>
      </c>
      <c r="I110" s="4">
        <v>46082</v>
      </c>
    </row>
    <row r="111" spans="1:9" x14ac:dyDescent="0.15">
      <c r="A111" t="str">
        <f t="shared" si="1"/>
        <v>2.Despesas</v>
      </c>
      <c r="B111">
        <v>2</v>
      </c>
      <c r="C111" t="s">
        <v>12</v>
      </c>
      <c r="D111">
        <v>1</v>
      </c>
      <c r="E111" t="s">
        <v>13</v>
      </c>
      <c r="F111">
        <v>5</v>
      </c>
      <c r="G111" t="s">
        <v>18</v>
      </c>
      <c r="H111" s="1">
        <v>1400</v>
      </c>
      <c r="I111" s="4">
        <v>46082</v>
      </c>
    </row>
    <row r="112" spans="1:9" x14ac:dyDescent="0.15">
      <c r="A112" t="str">
        <f t="shared" si="1"/>
        <v>2.Despesas</v>
      </c>
      <c r="B112">
        <v>2</v>
      </c>
      <c r="C112" t="s">
        <v>12</v>
      </c>
      <c r="D112">
        <v>1</v>
      </c>
      <c r="E112" t="s">
        <v>13</v>
      </c>
      <c r="F112">
        <v>6</v>
      </c>
      <c r="G112" t="s">
        <v>19</v>
      </c>
      <c r="H112">
        <v>324</v>
      </c>
      <c r="I112" s="4">
        <v>46082</v>
      </c>
    </row>
    <row r="113" spans="1:9" x14ac:dyDescent="0.15">
      <c r="A113" t="str">
        <f t="shared" si="1"/>
        <v>2.Despesas</v>
      </c>
      <c r="B113">
        <v>2</v>
      </c>
      <c r="C113" t="s">
        <v>12</v>
      </c>
      <c r="D113">
        <v>1</v>
      </c>
      <c r="E113" t="s">
        <v>13</v>
      </c>
      <c r="F113">
        <v>7</v>
      </c>
      <c r="G113" t="s">
        <v>20</v>
      </c>
      <c r="H113">
        <v>0</v>
      </c>
      <c r="I113" s="4">
        <v>46082</v>
      </c>
    </row>
    <row r="114" spans="1:9" x14ac:dyDescent="0.15">
      <c r="A114" t="str">
        <f t="shared" si="1"/>
        <v>2.Despesas</v>
      </c>
      <c r="B114">
        <v>2</v>
      </c>
      <c r="C114" t="s">
        <v>12</v>
      </c>
      <c r="D114">
        <v>1</v>
      </c>
      <c r="E114" t="s">
        <v>13</v>
      </c>
      <c r="F114">
        <v>8</v>
      </c>
      <c r="G114" t="s">
        <v>21</v>
      </c>
      <c r="H114">
        <v>11.79</v>
      </c>
      <c r="I114" s="4">
        <v>46082</v>
      </c>
    </row>
    <row r="115" spans="1:9" x14ac:dyDescent="0.15">
      <c r="A115" t="str">
        <f t="shared" si="1"/>
        <v>2.Despesas</v>
      </c>
      <c r="B115">
        <v>2</v>
      </c>
      <c r="C115" t="s">
        <v>12</v>
      </c>
      <c r="D115">
        <v>1</v>
      </c>
      <c r="E115" t="s">
        <v>13</v>
      </c>
      <c r="F115">
        <v>9</v>
      </c>
      <c r="G115" t="s">
        <v>22</v>
      </c>
      <c r="H115">
        <v>0</v>
      </c>
      <c r="I115" s="4">
        <v>46082</v>
      </c>
    </row>
    <row r="116" spans="1:9" x14ac:dyDescent="0.15">
      <c r="A116" t="str">
        <f t="shared" si="1"/>
        <v>2.Despesas</v>
      </c>
      <c r="B116">
        <v>2</v>
      </c>
      <c r="C116" t="s">
        <v>12</v>
      </c>
      <c r="D116">
        <v>1</v>
      </c>
      <c r="E116" t="s">
        <v>13</v>
      </c>
      <c r="F116">
        <v>10</v>
      </c>
      <c r="G116" t="s">
        <v>23</v>
      </c>
      <c r="H116">
        <v>0</v>
      </c>
      <c r="I116" s="4">
        <v>46082</v>
      </c>
    </row>
    <row r="117" spans="1:9" x14ac:dyDescent="0.15">
      <c r="A117" t="str">
        <f t="shared" si="1"/>
        <v>2.Despesas</v>
      </c>
      <c r="B117">
        <v>2</v>
      </c>
      <c r="C117" t="s">
        <v>12</v>
      </c>
      <c r="D117">
        <v>1</v>
      </c>
      <c r="E117" t="s">
        <v>13</v>
      </c>
      <c r="F117">
        <v>11</v>
      </c>
      <c r="G117" t="s">
        <v>24</v>
      </c>
      <c r="H117" s="1">
        <v>2800</v>
      </c>
      <c r="I117" s="4">
        <v>46082</v>
      </c>
    </row>
    <row r="118" spans="1:9" x14ac:dyDescent="0.15">
      <c r="A118" t="str">
        <f t="shared" si="1"/>
        <v>2.Despesas</v>
      </c>
      <c r="B118">
        <v>2</v>
      </c>
      <c r="C118" t="s">
        <v>12</v>
      </c>
      <c r="D118">
        <v>2</v>
      </c>
      <c r="E118" t="s">
        <v>25</v>
      </c>
      <c r="F118">
        <v>1</v>
      </c>
      <c r="G118" t="s">
        <v>26</v>
      </c>
      <c r="H118" s="1">
        <v>1111.0999999999999</v>
      </c>
      <c r="I118" s="4">
        <v>46082</v>
      </c>
    </row>
    <row r="119" spans="1:9" x14ac:dyDescent="0.15">
      <c r="A119" t="str">
        <f t="shared" si="1"/>
        <v>2.Despesas</v>
      </c>
      <c r="B119">
        <v>2</v>
      </c>
      <c r="C119" t="s">
        <v>12</v>
      </c>
      <c r="D119">
        <v>2</v>
      </c>
      <c r="E119" t="s">
        <v>25</v>
      </c>
      <c r="F119">
        <v>2</v>
      </c>
      <c r="G119" t="s">
        <v>27</v>
      </c>
      <c r="H119" s="1">
        <v>5798.88</v>
      </c>
      <c r="I119" s="4">
        <v>46082</v>
      </c>
    </row>
    <row r="120" spans="1:9" x14ac:dyDescent="0.15">
      <c r="A120" t="str">
        <f t="shared" si="1"/>
        <v>2.Despesas</v>
      </c>
      <c r="B120">
        <v>2</v>
      </c>
      <c r="C120" t="s">
        <v>12</v>
      </c>
      <c r="D120">
        <v>2</v>
      </c>
      <c r="E120" t="s">
        <v>25</v>
      </c>
      <c r="F120">
        <v>3</v>
      </c>
      <c r="G120" t="s">
        <v>28</v>
      </c>
      <c r="H120">
        <v>128.5</v>
      </c>
      <c r="I120" s="4">
        <v>46082</v>
      </c>
    </row>
    <row r="121" spans="1:9" x14ac:dyDescent="0.15">
      <c r="A121" t="str">
        <f t="shared" si="1"/>
        <v>2.Despesas</v>
      </c>
      <c r="B121">
        <v>2</v>
      </c>
      <c r="C121" t="s">
        <v>12</v>
      </c>
      <c r="D121">
        <v>3</v>
      </c>
      <c r="E121" t="s">
        <v>29</v>
      </c>
      <c r="F121">
        <v>1</v>
      </c>
      <c r="G121" t="s">
        <v>30</v>
      </c>
      <c r="H121">
        <v>650</v>
      </c>
      <c r="I121" s="4">
        <v>46082</v>
      </c>
    </row>
    <row r="122" spans="1:9" x14ac:dyDescent="0.15">
      <c r="A122" t="str">
        <f t="shared" si="1"/>
        <v>2.Despesas</v>
      </c>
      <c r="B122">
        <v>2</v>
      </c>
      <c r="C122" t="s">
        <v>12</v>
      </c>
      <c r="D122">
        <v>3</v>
      </c>
      <c r="E122" t="s">
        <v>29</v>
      </c>
      <c r="F122">
        <v>2</v>
      </c>
      <c r="G122" t="s">
        <v>31</v>
      </c>
      <c r="H122">
        <v>0</v>
      </c>
      <c r="I122" s="4">
        <v>46082</v>
      </c>
    </row>
    <row r="123" spans="1:9" x14ac:dyDescent="0.15">
      <c r="A123" t="str">
        <f t="shared" si="1"/>
        <v>2.Despesas</v>
      </c>
      <c r="B123">
        <v>2</v>
      </c>
      <c r="C123" t="s">
        <v>12</v>
      </c>
      <c r="D123">
        <v>4</v>
      </c>
      <c r="E123" t="s">
        <v>32</v>
      </c>
      <c r="F123">
        <v>1</v>
      </c>
      <c r="G123" t="s">
        <v>33</v>
      </c>
      <c r="H123">
        <v>0</v>
      </c>
      <c r="I123" s="4">
        <v>46082</v>
      </c>
    </row>
    <row r="124" spans="1:9" x14ac:dyDescent="0.15">
      <c r="A124" t="str">
        <f t="shared" si="1"/>
        <v>2.Despesas</v>
      </c>
      <c r="B124">
        <v>2</v>
      </c>
      <c r="C124" t="s">
        <v>12</v>
      </c>
      <c r="D124">
        <v>5</v>
      </c>
      <c r="E124" t="s">
        <v>34</v>
      </c>
      <c r="F124">
        <v>1</v>
      </c>
      <c r="G124" t="s">
        <v>35</v>
      </c>
      <c r="H124">
        <v>578.44000000000005</v>
      </c>
      <c r="I124" s="4">
        <v>46082</v>
      </c>
    </row>
    <row r="125" spans="1:9" x14ac:dyDescent="0.15">
      <c r="A125" t="str">
        <f t="shared" si="1"/>
        <v>2.Despesas</v>
      </c>
      <c r="B125">
        <v>2</v>
      </c>
      <c r="C125" t="s">
        <v>12</v>
      </c>
      <c r="D125">
        <v>5</v>
      </c>
      <c r="E125" t="s">
        <v>34</v>
      </c>
      <c r="F125">
        <v>2</v>
      </c>
      <c r="G125" t="s">
        <v>36</v>
      </c>
      <c r="H125">
        <v>0.02</v>
      </c>
      <c r="I125" s="4">
        <v>46082</v>
      </c>
    </row>
    <row r="126" spans="1:9" x14ac:dyDescent="0.15">
      <c r="A126" t="str">
        <f t="shared" si="1"/>
        <v>2.Despesas</v>
      </c>
      <c r="B126">
        <v>2</v>
      </c>
      <c r="C126" t="s">
        <v>12</v>
      </c>
      <c r="D126">
        <v>6</v>
      </c>
      <c r="E126" t="s">
        <v>37</v>
      </c>
      <c r="F126">
        <v>1</v>
      </c>
      <c r="G126" t="s">
        <v>38</v>
      </c>
      <c r="H126">
        <v>66.430000000000007</v>
      </c>
      <c r="I126" s="4">
        <v>46082</v>
      </c>
    </row>
    <row r="127" spans="1:9" x14ac:dyDescent="0.15">
      <c r="A127" t="str">
        <f t="shared" si="1"/>
        <v>2.Despesas</v>
      </c>
      <c r="B127">
        <v>2</v>
      </c>
      <c r="C127" t="s">
        <v>12</v>
      </c>
      <c r="D127">
        <v>7</v>
      </c>
      <c r="E127" t="s">
        <v>39</v>
      </c>
      <c r="F127">
        <v>1</v>
      </c>
      <c r="G127" t="s">
        <v>40</v>
      </c>
      <c r="H127">
        <v>22</v>
      </c>
      <c r="I127" s="4">
        <v>46082</v>
      </c>
    </row>
    <row r="128" spans="1:9" x14ac:dyDescent="0.15">
      <c r="A128" t="str">
        <f t="shared" si="1"/>
        <v>2.Despesas</v>
      </c>
      <c r="B128">
        <v>2</v>
      </c>
      <c r="C128" t="s">
        <v>12</v>
      </c>
      <c r="D128">
        <v>7</v>
      </c>
      <c r="E128" t="s">
        <v>39</v>
      </c>
      <c r="F128">
        <v>2</v>
      </c>
      <c r="G128" t="s">
        <v>41</v>
      </c>
      <c r="H128">
        <v>0</v>
      </c>
      <c r="I128" s="4">
        <v>46082</v>
      </c>
    </row>
    <row r="129" spans="1:9" x14ac:dyDescent="0.15">
      <c r="A129" t="str">
        <f t="shared" si="1"/>
        <v>2.Despesas</v>
      </c>
      <c r="B129">
        <v>2</v>
      </c>
      <c r="C129" t="s">
        <v>12</v>
      </c>
      <c r="D129">
        <v>8</v>
      </c>
      <c r="E129" t="s">
        <v>42</v>
      </c>
      <c r="F129">
        <v>1</v>
      </c>
      <c r="G129" t="s">
        <v>43</v>
      </c>
      <c r="H129" s="1">
        <v>1239.07</v>
      </c>
      <c r="I129" s="4">
        <v>46082</v>
      </c>
    </row>
    <row r="130" spans="1:9" x14ac:dyDescent="0.15">
      <c r="A130" t="str">
        <f t="shared" si="1"/>
        <v>2.Despesas</v>
      </c>
      <c r="B130">
        <v>2</v>
      </c>
      <c r="C130" t="s">
        <v>12</v>
      </c>
      <c r="D130">
        <v>8</v>
      </c>
      <c r="E130" t="s">
        <v>42</v>
      </c>
      <c r="F130">
        <v>2</v>
      </c>
      <c r="G130" t="s">
        <v>44</v>
      </c>
      <c r="H130">
        <v>0</v>
      </c>
      <c r="I130" s="4">
        <v>46082</v>
      </c>
    </row>
    <row r="131" spans="1:9" x14ac:dyDescent="0.15">
      <c r="A131" t="str">
        <f t="shared" ref="A131:A148" si="2">_xlfn.CONCAT(B131,".",C131)</f>
        <v>2.Despesas</v>
      </c>
      <c r="B131">
        <v>2</v>
      </c>
      <c r="C131" t="s">
        <v>12</v>
      </c>
      <c r="D131">
        <v>8</v>
      </c>
      <c r="E131" t="s">
        <v>42</v>
      </c>
      <c r="F131">
        <v>3</v>
      </c>
      <c r="G131" t="s">
        <v>45</v>
      </c>
      <c r="H131">
        <v>0</v>
      </c>
      <c r="I131" s="4">
        <v>46082</v>
      </c>
    </row>
    <row r="132" spans="1:9" x14ac:dyDescent="0.15">
      <c r="A132" t="str">
        <f t="shared" si="2"/>
        <v>2.Despesas</v>
      </c>
      <c r="B132">
        <v>2</v>
      </c>
      <c r="C132" t="s">
        <v>12</v>
      </c>
      <c r="D132">
        <v>8</v>
      </c>
      <c r="E132" t="s">
        <v>42</v>
      </c>
      <c r="F132">
        <v>4</v>
      </c>
      <c r="G132" t="s">
        <v>46</v>
      </c>
      <c r="H132">
        <v>149.85</v>
      </c>
      <c r="I132" s="4">
        <v>46082</v>
      </c>
    </row>
    <row r="133" spans="1:9" x14ac:dyDescent="0.15">
      <c r="A133" t="str">
        <f t="shared" si="2"/>
        <v>2.Despesas</v>
      </c>
      <c r="B133">
        <v>2</v>
      </c>
      <c r="C133" t="s">
        <v>12</v>
      </c>
      <c r="D133">
        <v>8</v>
      </c>
      <c r="E133" t="s">
        <v>42</v>
      </c>
      <c r="F133">
        <v>5</v>
      </c>
      <c r="G133" t="s">
        <v>47</v>
      </c>
      <c r="H133">
        <v>200</v>
      </c>
      <c r="I133" s="4">
        <v>46082</v>
      </c>
    </row>
    <row r="134" spans="1:9" x14ac:dyDescent="0.15">
      <c r="A134" t="str">
        <f t="shared" si="2"/>
        <v>2.Despesas</v>
      </c>
      <c r="B134">
        <v>2</v>
      </c>
      <c r="C134" t="s">
        <v>12</v>
      </c>
      <c r="D134">
        <v>9</v>
      </c>
      <c r="E134" t="s">
        <v>48</v>
      </c>
      <c r="F134">
        <v>1</v>
      </c>
      <c r="G134" t="s">
        <v>49</v>
      </c>
      <c r="H134">
        <v>300</v>
      </c>
      <c r="I134" s="4">
        <v>46082</v>
      </c>
    </row>
    <row r="135" spans="1:9" x14ac:dyDescent="0.15">
      <c r="A135" t="str">
        <f t="shared" si="2"/>
        <v>2.Despesas</v>
      </c>
      <c r="B135">
        <v>2</v>
      </c>
      <c r="C135" t="s">
        <v>12</v>
      </c>
      <c r="D135">
        <v>9</v>
      </c>
      <c r="E135" t="s">
        <v>48</v>
      </c>
      <c r="F135">
        <v>2</v>
      </c>
      <c r="G135" t="s">
        <v>50</v>
      </c>
      <c r="H135">
        <v>0</v>
      </c>
      <c r="I135" s="4">
        <v>46082</v>
      </c>
    </row>
    <row r="136" spans="1:9" x14ac:dyDescent="0.15">
      <c r="A136" t="str">
        <f t="shared" si="2"/>
        <v>2.Despesas</v>
      </c>
      <c r="B136">
        <v>2</v>
      </c>
      <c r="C136" t="s">
        <v>12</v>
      </c>
      <c r="D136">
        <v>9</v>
      </c>
      <c r="E136" t="s">
        <v>48</v>
      </c>
      <c r="F136">
        <v>3</v>
      </c>
      <c r="G136" t="s">
        <v>51</v>
      </c>
      <c r="H136">
        <v>0</v>
      </c>
      <c r="I136" s="4">
        <v>46082</v>
      </c>
    </row>
    <row r="137" spans="1:9" x14ac:dyDescent="0.15">
      <c r="A137" t="str">
        <f t="shared" si="2"/>
        <v>2.Despesas</v>
      </c>
      <c r="B137">
        <v>2</v>
      </c>
      <c r="C137" t="s">
        <v>12</v>
      </c>
      <c r="D137">
        <v>9</v>
      </c>
      <c r="E137" t="s">
        <v>48</v>
      </c>
      <c r="F137">
        <v>4</v>
      </c>
      <c r="G137" t="s">
        <v>52</v>
      </c>
      <c r="H137">
        <v>94.32</v>
      </c>
      <c r="I137" s="4">
        <v>46082</v>
      </c>
    </row>
    <row r="138" spans="1:9" x14ac:dyDescent="0.15">
      <c r="A138" t="str">
        <f t="shared" si="2"/>
        <v>2.Despesas</v>
      </c>
      <c r="B138">
        <v>2</v>
      </c>
      <c r="C138" t="s">
        <v>12</v>
      </c>
      <c r="D138">
        <v>9</v>
      </c>
      <c r="E138" t="s">
        <v>48</v>
      </c>
      <c r="F138">
        <v>5</v>
      </c>
      <c r="G138" t="s">
        <v>53</v>
      </c>
      <c r="H138">
        <v>0</v>
      </c>
      <c r="I138" s="4">
        <v>46082</v>
      </c>
    </row>
    <row r="139" spans="1:9" x14ac:dyDescent="0.15">
      <c r="A139" t="str">
        <f t="shared" si="2"/>
        <v>2.Despesas</v>
      </c>
      <c r="B139">
        <v>2</v>
      </c>
      <c r="C139" t="s">
        <v>12</v>
      </c>
      <c r="D139">
        <v>10</v>
      </c>
      <c r="E139" t="s">
        <v>54</v>
      </c>
      <c r="F139">
        <v>1</v>
      </c>
      <c r="G139" t="s">
        <v>55</v>
      </c>
      <c r="H139">
        <v>103.6</v>
      </c>
      <c r="I139" s="4">
        <v>46082</v>
      </c>
    </row>
    <row r="140" spans="1:9" x14ac:dyDescent="0.15">
      <c r="A140" t="str">
        <f t="shared" si="2"/>
        <v>2.Despesas</v>
      </c>
      <c r="B140">
        <v>2</v>
      </c>
      <c r="C140" t="s">
        <v>12</v>
      </c>
      <c r="D140">
        <v>10</v>
      </c>
      <c r="E140" t="s">
        <v>54</v>
      </c>
      <c r="F140">
        <v>2</v>
      </c>
      <c r="G140" t="s">
        <v>56</v>
      </c>
      <c r="H140">
        <v>0</v>
      </c>
      <c r="I140" s="4">
        <v>46082</v>
      </c>
    </row>
    <row r="141" spans="1:9" x14ac:dyDescent="0.15">
      <c r="A141" t="str">
        <f t="shared" si="2"/>
        <v>2.Despesas</v>
      </c>
      <c r="B141">
        <v>2</v>
      </c>
      <c r="C141" t="s">
        <v>12</v>
      </c>
      <c r="D141">
        <v>10</v>
      </c>
      <c r="E141" t="s">
        <v>54</v>
      </c>
      <c r="F141">
        <v>3</v>
      </c>
      <c r="G141" t="s">
        <v>57</v>
      </c>
      <c r="H141">
        <v>53.26</v>
      </c>
      <c r="I141" s="4">
        <v>46082</v>
      </c>
    </row>
    <row r="142" spans="1:9" x14ac:dyDescent="0.15">
      <c r="A142" t="str">
        <f t="shared" si="2"/>
        <v>2.Despesas</v>
      </c>
      <c r="B142">
        <v>2</v>
      </c>
      <c r="C142" t="s">
        <v>12</v>
      </c>
      <c r="D142">
        <v>10</v>
      </c>
      <c r="E142" t="s">
        <v>54</v>
      </c>
      <c r="F142">
        <v>4</v>
      </c>
      <c r="G142" t="s">
        <v>58</v>
      </c>
      <c r="H142">
        <v>161.76</v>
      </c>
      <c r="I142" s="4">
        <v>46082</v>
      </c>
    </row>
    <row r="143" spans="1:9" x14ac:dyDescent="0.15">
      <c r="A143" t="str">
        <f t="shared" si="2"/>
        <v>2.Despesas</v>
      </c>
      <c r="B143">
        <v>2</v>
      </c>
      <c r="C143" t="s">
        <v>12</v>
      </c>
      <c r="D143">
        <v>10</v>
      </c>
      <c r="E143" t="s">
        <v>54</v>
      </c>
      <c r="F143">
        <v>5</v>
      </c>
      <c r="G143" t="s">
        <v>59</v>
      </c>
      <c r="H143">
        <v>75.34</v>
      </c>
      <c r="I143" s="4">
        <v>46082</v>
      </c>
    </row>
    <row r="144" spans="1:9" x14ac:dyDescent="0.15">
      <c r="A144" t="str">
        <f t="shared" si="2"/>
        <v>2.Despesas</v>
      </c>
      <c r="B144">
        <v>2</v>
      </c>
      <c r="C144" t="s">
        <v>12</v>
      </c>
      <c r="D144">
        <v>10</v>
      </c>
      <c r="E144" t="s">
        <v>54</v>
      </c>
      <c r="F144">
        <v>6</v>
      </c>
      <c r="G144" t="s">
        <v>60</v>
      </c>
      <c r="H144">
        <v>0</v>
      </c>
      <c r="I144" s="4">
        <v>46082</v>
      </c>
    </row>
    <row r="145" spans="1:9" x14ac:dyDescent="0.15">
      <c r="A145" t="str">
        <f t="shared" si="2"/>
        <v>2.Despesas</v>
      </c>
      <c r="B145">
        <v>2</v>
      </c>
      <c r="C145" t="s">
        <v>12</v>
      </c>
      <c r="D145">
        <v>10</v>
      </c>
      <c r="E145" t="s">
        <v>54</v>
      </c>
      <c r="F145">
        <v>7</v>
      </c>
      <c r="G145" t="s">
        <v>61</v>
      </c>
      <c r="H145">
        <v>317.70999999999998</v>
      </c>
      <c r="I145" s="4">
        <v>46082</v>
      </c>
    </row>
    <row r="146" spans="1:9" x14ac:dyDescent="0.15">
      <c r="A146" t="str">
        <f t="shared" si="2"/>
        <v>2.Despesas</v>
      </c>
      <c r="B146">
        <v>2</v>
      </c>
      <c r="C146" t="s">
        <v>12</v>
      </c>
      <c r="D146">
        <v>10</v>
      </c>
      <c r="E146" t="s">
        <v>54</v>
      </c>
      <c r="F146">
        <v>8</v>
      </c>
      <c r="G146" t="s">
        <v>62</v>
      </c>
      <c r="H146">
        <v>0</v>
      </c>
      <c r="I146" s="4">
        <v>46082</v>
      </c>
    </row>
    <row r="147" spans="1:9" x14ac:dyDescent="0.15">
      <c r="A147" t="str">
        <f t="shared" si="2"/>
        <v>2.Despesas</v>
      </c>
      <c r="B147">
        <v>2</v>
      </c>
      <c r="C147" t="s">
        <v>12</v>
      </c>
      <c r="D147">
        <v>10</v>
      </c>
      <c r="E147" t="s">
        <v>54</v>
      </c>
      <c r="F147">
        <v>9</v>
      </c>
      <c r="G147" t="s">
        <v>63</v>
      </c>
      <c r="H147">
        <v>122.1</v>
      </c>
      <c r="I147" s="4">
        <v>46082</v>
      </c>
    </row>
    <row r="148" spans="1:9" x14ac:dyDescent="0.15">
      <c r="A148" t="str">
        <f t="shared" si="2"/>
        <v>2.Despesas</v>
      </c>
      <c r="B148">
        <v>2</v>
      </c>
      <c r="C148" t="s">
        <v>12</v>
      </c>
      <c r="D148">
        <v>11</v>
      </c>
      <c r="E148" t="s">
        <v>9</v>
      </c>
      <c r="F148">
        <v>1</v>
      </c>
      <c r="G148" t="s">
        <v>64</v>
      </c>
      <c r="H148">
        <v>41.85</v>
      </c>
      <c r="I148" s="4">
        <v>46082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DA21-23DA-154E-BEC6-B426BA846006}">
  <dimension ref="A1:F92"/>
  <sheetViews>
    <sheetView tabSelected="1" zoomScale="150" workbookViewId="0">
      <selection activeCell="D13" sqref="D13"/>
    </sheetView>
  </sheetViews>
  <sheetFormatPr baseColWidth="10" defaultRowHeight="13" x14ac:dyDescent="0.15"/>
  <cols>
    <col min="1" max="2" width="8.83203125" bestFit="1" customWidth="1"/>
    <col min="3" max="3" width="10.33203125" bestFit="1" customWidth="1"/>
    <col min="4" max="4" width="21" bestFit="1" customWidth="1"/>
    <col min="5" max="5" width="13.1640625" bestFit="1" customWidth="1"/>
    <col min="6" max="6" width="27.83203125" bestFit="1" customWidth="1"/>
  </cols>
  <sheetData>
    <row r="1" spans="1:6" x14ac:dyDescent="0.15">
      <c r="A1" t="s">
        <v>65</v>
      </c>
      <c r="B1" t="s">
        <v>70</v>
      </c>
      <c r="C1" t="s">
        <v>66</v>
      </c>
      <c r="D1" t="s">
        <v>69</v>
      </c>
      <c r="E1" t="s">
        <v>67</v>
      </c>
      <c r="F1" t="s">
        <v>68</v>
      </c>
    </row>
    <row r="2" spans="1:6" x14ac:dyDescent="0.15">
      <c r="A2">
        <v>1</v>
      </c>
      <c r="B2" t="s">
        <v>0</v>
      </c>
      <c r="C2">
        <v>1</v>
      </c>
      <c r="D2" t="s">
        <v>1</v>
      </c>
      <c r="E2">
        <v>1</v>
      </c>
      <c r="F2" t="s">
        <v>2</v>
      </c>
    </row>
    <row r="3" spans="1:6" x14ac:dyDescent="0.15">
      <c r="A3">
        <v>1</v>
      </c>
      <c r="B3" t="s">
        <v>0</v>
      </c>
      <c r="C3">
        <v>1</v>
      </c>
      <c r="D3" t="s">
        <v>1</v>
      </c>
      <c r="E3">
        <v>2</v>
      </c>
      <c r="F3" t="s">
        <v>3</v>
      </c>
    </row>
    <row r="4" spans="1:6" x14ac:dyDescent="0.15">
      <c r="A4">
        <v>1</v>
      </c>
      <c r="B4" t="s">
        <v>0</v>
      </c>
      <c r="C4">
        <v>1</v>
      </c>
      <c r="D4" t="s">
        <v>1</v>
      </c>
      <c r="E4">
        <v>3</v>
      </c>
      <c r="F4" t="s">
        <v>128</v>
      </c>
    </row>
    <row r="5" spans="1:6" x14ac:dyDescent="0.15">
      <c r="A5">
        <v>1</v>
      </c>
      <c r="B5" t="s">
        <v>0</v>
      </c>
      <c r="C5">
        <v>1</v>
      </c>
      <c r="D5" t="s">
        <v>1</v>
      </c>
      <c r="E5">
        <v>4</v>
      </c>
      <c r="F5" t="s">
        <v>129</v>
      </c>
    </row>
    <row r="6" spans="1:6" x14ac:dyDescent="0.15">
      <c r="A6">
        <v>1</v>
      </c>
      <c r="B6" t="s">
        <v>0</v>
      </c>
      <c r="C6">
        <v>2</v>
      </c>
      <c r="D6" t="s">
        <v>4</v>
      </c>
      <c r="E6">
        <v>1</v>
      </c>
      <c r="F6" t="s">
        <v>5</v>
      </c>
    </row>
    <row r="7" spans="1:6" x14ac:dyDescent="0.15">
      <c r="A7">
        <v>1</v>
      </c>
      <c r="B7" t="s">
        <v>0</v>
      </c>
      <c r="C7">
        <v>2</v>
      </c>
      <c r="D7" t="s">
        <v>4</v>
      </c>
      <c r="E7">
        <v>2</v>
      </c>
      <c r="F7" t="s">
        <v>6</v>
      </c>
    </row>
    <row r="8" spans="1:6" x14ac:dyDescent="0.15">
      <c r="A8">
        <v>1</v>
      </c>
      <c r="B8" t="s">
        <v>0</v>
      </c>
      <c r="C8">
        <v>2</v>
      </c>
      <c r="D8" t="s">
        <v>4</v>
      </c>
      <c r="E8">
        <v>3</v>
      </c>
      <c r="F8" t="s">
        <v>130</v>
      </c>
    </row>
    <row r="9" spans="1:6" x14ac:dyDescent="0.15">
      <c r="A9">
        <v>1</v>
      </c>
      <c r="B9" t="s">
        <v>0</v>
      </c>
      <c r="C9">
        <v>2</v>
      </c>
      <c r="D9" t="s">
        <v>4</v>
      </c>
      <c r="E9">
        <v>4</v>
      </c>
      <c r="F9" t="s">
        <v>131</v>
      </c>
    </row>
    <row r="10" spans="1:6" x14ac:dyDescent="0.15">
      <c r="A10">
        <v>1</v>
      </c>
      <c r="B10" t="s">
        <v>0</v>
      </c>
      <c r="C10">
        <v>3</v>
      </c>
      <c r="D10" t="s">
        <v>7</v>
      </c>
      <c r="E10">
        <v>1</v>
      </c>
      <c r="F10" t="s">
        <v>8</v>
      </c>
    </row>
    <row r="11" spans="1:6" x14ac:dyDescent="0.15">
      <c r="A11">
        <v>1</v>
      </c>
      <c r="B11" t="s">
        <v>0</v>
      </c>
      <c r="C11">
        <v>4</v>
      </c>
      <c r="D11" t="s">
        <v>9</v>
      </c>
      <c r="E11">
        <v>1</v>
      </c>
      <c r="F11" t="s">
        <v>10</v>
      </c>
    </row>
    <row r="12" spans="1:6" x14ac:dyDescent="0.15">
      <c r="A12">
        <v>1</v>
      </c>
      <c r="B12" t="s">
        <v>0</v>
      </c>
      <c r="C12">
        <v>4</v>
      </c>
      <c r="D12" t="s">
        <v>9</v>
      </c>
      <c r="E12">
        <v>2</v>
      </c>
      <c r="F12" t="s">
        <v>11</v>
      </c>
    </row>
    <row r="13" spans="1:6" x14ac:dyDescent="0.15">
      <c r="A13">
        <v>1</v>
      </c>
      <c r="B13" t="s">
        <v>0</v>
      </c>
      <c r="C13">
        <v>4</v>
      </c>
      <c r="D13" t="s">
        <v>9</v>
      </c>
      <c r="E13">
        <v>3</v>
      </c>
      <c r="F13" t="s">
        <v>132</v>
      </c>
    </row>
    <row r="14" spans="1:6" x14ac:dyDescent="0.15">
      <c r="A14">
        <v>1</v>
      </c>
      <c r="B14" t="s">
        <v>0</v>
      </c>
      <c r="C14">
        <v>4</v>
      </c>
      <c r="D14" t="s">
        <v>9</v>
      </c>
      <c r="E14">
        <v>4</v>
      </c>
      <c r="F14" t="s">
        <v>133</v>
      </c>
    </row>
    <row r="15" spans="1:6" x14ac:dyDescent="0.15">
      <c r="A15">
        <v>2</v>
      </c>
      <c r="B15" t="s">
        <v>12</v>
      </c>
      <c r="C15">
        <v>1</v>
      </c>
      <c r="D15" t="s">
        <v>13</v>
      </c>
      <c r="E15">
        <v>1</v>
      </c>
      <c r="F15" t="s">
        <v>14</v>
      </c>
    </row>
    <row r="16" spans="1:6" x14ac:dyDescent="0.15">
      <c r="A16">
        <v>2</v>
      </c>
      <c r="B16" t="s">
        <v>12</v>
      </c>
      <c r="C16">
        <v>1</v>
      </c>
      <c r="D16" t="s">
        <v>13</v>
      </c>
      <c r="E16">
        <v>2</v>
      </c>
      <c r="F16" t="s">
        <v>15</v>
      </c>
    </row>
    <row r="17" spans="1:6" x14ac:dyDescent="0.15">
      <c r="A17">
        <v>2</v>
      </c>
      <c r="B17" t="s">
        <v>12</v>
      </c>
      <c r="C17">
        <v>1</v>
      </c>
      <c r="D17" t="s">
        <v>13</v>
      </c>
      <c r="E17">
        <v>3</v>
      </c>
      <c r="F17" t="s">
        <v>16</v>
      </c>
    </row>
    <row r="18" spans="1:6" x14ac:dyDescent="0.15">
      <c r="A18">
        <v>2</v>
      </c>
      <c r="B18" t="s">
        <v>12</v>
      </c>
      <c r="C18">
        <v>1</v>
      </c>
      <c r="D18" t="s">
        <v>13</v>
      </c>
      <c r="E18">
        <v>4</v>
      </c>
      <c r="F18" t="s">
        <v>17</v>
      </c>
    </row>
    <row r="19" spans="1:6" x14ac:dyDescent="0.15">
      <c r="A19">
        <v>2</v>
      </c>
      <c r="B19" t="s">
        <v>12</v>
      </c>
      <c r="C19">
        <v>1</v>
      </c>
      <c r="D19" t="s">
        <v>13</v>
      </c>
      <c r="E19">
        <v>5</v>
      </c>
      <c r="F19" t="s">
        <v>18</v>
      </c>
    </row>
    <row r="20" spans="1:6" x14ac:dyDescent="0.15">
      <c r="A20">
        <v>2</v>
      </c>
      <c r="B20" t="s">
        <v>12</v>
      </c>
      <c r="C20">
        <v>1</v>
      </c>
      <c r="D20" t="s">
        <v>13</v>
      </c>
      <c r="E20">
        <v>6</v>
      </c>
      <c r="F20" t="s">
        <v>19</v>
      </c>
    </row>
    <row r="21" spans="1:6" x14ac:dyDescent="0.15">
      <c r="A21">
        <v>2</v>
      </c>
      <c r="B21" t="s">
        <v>12</v>
      </c>
      <c r="C21">
        <v>1</v>
      </c>
      <c r="D21" t="s">
        <v>13</v>
      </c>
      <c r="E21">
        <v>7</v>
      </c>
      <c r="F21" t="s">
        <v>20</v>
      </c>
    </row>
    <row r="22" spans="1:6" x14ac:dyDescent="0.15">
      <c r="A22">
        <v>2</v>
      </c>
      <c r="B22" t="s">
        <v>12</v>
      </c>
      <c r="C22">
        <v>1</v>
      </c>
      <c r="D22" t="s">
        <v>13</v>
      </c>
      <c r="E22">
        <v>8</v>
      </c>
      <c r="F22" t="s">
        <v>21</v>
      </c>
    </row>
    <row r="23" spans="1:6" x14ac:dyDescent="0.15">
      <c r="A23">
        <v>2</v>
      </c>
      <c r="B23" t="s">
        <v>12</v>
      </c>
      <c r="C23">
        <v>1</v>
      </c>
      <c r="D23" t="s">
        <v>13</v>
      </c>
      <c r="E23">
        <v>9</v>
      </c>
      <c r="F23" t="s">
        <v>22</v>
      </c>
    </row>
    <row r="24" spans="1:6" x14ac:dyDescent="0.15">
      <c r="A24">
        <v>2</v>
      </c>
      <c r="B24" t="s">
        <v>12</v>
      </c>
      <c r="C24">
        <v>1</v>
      </c>
      <c r="D24" t="s">
        <v>13</v>
      </c>
      <c r="E24">
        <v>10</v>
      </c>
      <c r="F24" t="s">
        <v>23</v>
      </c>
    </row>
    <row r="25" spans="1:6" x14ac:dyDescent="0.15">
      <c r="A25">
        <v>2</v>
      </c>
      <c r="B25" t="s">
        <v>12</v>
      </c>
      <c r="C25">
        <v>1</v>
      </c>
      <c r="D25" t="s">
        <v>13</v>
      </c>
      <c r="E25">
        <v>11</v>
      </c>
      <c r="F25" t="s">
        <v>24</v>
      </c>
    </row>
    <row r="26" spans="1:6" x14ac:dyDescent="0.15">
      <c r="A26">
        <v>2</v>
      </c>
      <c r="B26" t="s">
        <v>12</v>
      </c>
      <c r="C26">
        <v>1</v>
      </c>
      <c r="D26" t="s">
        <v>13</v>
      </c>
      <c r="E26">
        <v>12</v>
      </c>
      <c r="F26" t="s">
        <v>134</v>
      </c>
    </row>
    <row r="27" spans="1:6" x14ac:dyDescent="0.15">
      <c r="A27">
        <v>2</v>
      </c>
      <c r="B27" t="s">
        <v>12</v>
      </c>
      <c r="C27">
        <v>1</v>
      </c>
      <c r="D27" t="s">
        <v>13</v>
      </c>
      <c r="E27">
        <v>13</v>
      </c>
      <c r="F27" t="s">
        <v>135</v>
      </c>
    </row>
    <row r="28" spans="1:6" x14ac:dyDescent="0.15">
      <c r="A28">
        <v>2</v>
      </c>
      <c r="B28" t="s">
        <v>12</v>
      </c>
      <c r="C28">
        <v>1</v>
      </c>
      <c r="D28" t="s">
        <v>13</v>
      </c>
      <c r="E28">
        <v>14</v>
      </c>
      <c r="F28" t="s">
        <v>136</v>
      </c>
    </row>
    <row r="29" spans="1:6" x14ac:dyDescent="0.15">
      <c r="A29">
        <v>2</v>
      </c>
      <c r="B29" t="s">
        <v>12</v>
      </c>
      <c r="C29">
        <v>1</v>
      </c>
      <c r="D29" t="s">
        <v>13</v>
      </c>
      <c r="E29">
        <v>15</v>
      </c>
      <c r="F29" t="s">
        <v>137</v>
      </c>
    </row>
    <row r="30" spans="1:6" x14ac:dyDescent="0.15">
      <c r="A30">
        <v>2</v>
      </c>
      <c r="B30" t="s">
        <v>12</v>
      </c>
      <c r="C30">
        <v>1</v>
      </c>
      <c r="D30" t="s">
        <v>13</v>
      </c>
      <c r="E30">
        <v>16</v>
      </c>
      <c r="F30" t="s">
        <v>138</v>
      </c>
    </row>
    <row r="31" spans="1:6" x14ac:dyDescent="0.15">
      <c r="A31">
        <v>2</v>
      </c>
      <c r="B31" t="s">
        <v>12</v>
      </c>
      <c r="C31">
        <v>1</v>
      </c>
      <c r="D31" t="s">
        <v>13</v>
      </c>
      <c r="E31">
        <v>17</v>
      </c>
      <c r="F31" t="s">
        <v>139</v>
      </c>
    </row>
    <row r="32" spans="1:6" x14ac:dyDescent="0.15">
      <c r="A32">
        <v>2</v>
      </c>
      <c r="B32" t="s">
        <v>12</v>
      </c>
      <c r="C32">
        <v>1</v>
      </c>
      <c r="D32" t="s">
        <v>13</v>
      </c>
      <c r="E32">
        <v>18</v>
      </c>
      <c r="F32" t="s">
        <v>140</v>
      </c>
    </row>
    <row r="33" spans="1:6" x14ac:dyDescent="0.15">
      <c r="A33">
        <v>2</v>
      </c>
      <c r="B33" t="s">
        <v>12</v>
      </c>
      <c r="C33">
        <v>1</v>
      </c>
      <c r="D33" t="s">
        <v>13</v>
      </c>
      <c r="E33">
        <v>19</v>
      </c>
      <c r="F33" t="s">
        <v>141</v>
      </c>
    </row>
    <row r="34" spans="1:6" x14ac:dyDescent="0.15">
      <c r="A34">
        <v>2</v>
      </c>
      <c r="B34" t="s">
        <v>12</v>
      </c>
      <c r="C34">
        <v>1</v>
      </c>
      <c r="D34" t="s">
        <v>13</v>
      </c>
      <c r="E34">
        <v>20</v>
      </c>
      <c r="F34" t="s">
        <v>142</v>
      </c>
    </row>
    <row r="35" spans="1:6" x14ac:dyDescent="0.15">
      <c r="A35">
        <v>2</v>
      </c>
      <c r="B35" t="s">
        <v>12</v>
      </c>
      <c r="C35">
        <v>2</v>
      </c>
      <c r="D35" t="s">
        <v>25</v>
      </c>
      <c r="E35">
        <v>1</v>
      </c>
      <c r="F35" t="s">
        <v>26</v>
      </c>
    </row>
    <row r="36" spans="1:6" x14ac:dyDescent="0.15">
      <c r="A36">
        <v>2</v>
      </c>
      <c r="B36" t="s">
        <v>12</v>
      </c>
      <c r="C36">
        <v>2</v>
      </c>
      <c r="D36" t="s">
        <v>25</v>
      </c>
      <c r="E36">
        <v>2</v>
      </c>
      <c r="F36" t="s">
        <v>27</v>
      </c>
    </row>
    <row r="37" spans="1:6" x14ac:dyDescent="0.15">
      <c r="A37">
        <v>2</v>
      </c>
      <c r="B37" t="s">
        <v>12</v>
      </c>
      <c r="C37">
        <v>2</v>
      </c>
      <c r="D37" t="s">
        <v>25</v>
      </c>
      <c r="E37">
        <v>3</v>
      </c>
      <c r="F37" t="s">
        <v>28</v>
      </c>
    </row>
    <row r="38" spans="1:6" x14ac:dyDescent="0.15">
      <c r="A38">
        <v>2</v>
      </c>
      <c r="B38" t="s">
        <v>12</v>
      </c>
      <c r="C38">
        <v>2</v>
      </c>
      <c r="D38" t="s">
        <v>25</v>
      </c>
      <c r="E38">
        <v>4</v>
      </c>
      <c r="F38" t="s">
        <v>143</v>
      </c>
    </row>
    <row r="39" spans="1:6" x14ac:dyDescent="0.15">
      <c r="A39">
        <v>2</v>
      </c>
      <c r="B39" t="s">
        <v>12</v>
      </c>
      <c r="C39">
        <v>3</v>
      </c>
      <c r="D39" t="s">
        <v>29</v>
      </c>
      <c r="E39">
        <v>1</v>
      </c>
      <c r="F39" t="s">
        <v>30</v>
      </c>
    </row>
    <row r="40" spans="1:6" x14ac:dyDescent="0.15">
      <c r="A40">
        <v>2</v>
      </c>
      <c r="B40" t="s">
        <v>12</v>
      </c>
      <c r="C40">
        <v>3</v>
      </c>
      <c r="D40" t="s">
        <v>29</v>
      </c>
      <c r="E40">
        <v>2</v>
      </c>
      <c r="F40" t="s">
        <v>31</v>
      </c>
    </row>
    <row r="41" spans="1:6" x14ac:dyDescent="0.15">
      <c r="A41">
        <v>2</v>
      </c>
      <c r="B41" t="s">
        <v>12</v>
      </c>
      <c r="C41">
        <v>3</v>
      </c>
      <c r="D41" t="s">
        <v>29</v>
      </c>
      <c r="E41">
        <v>3</v>
      </c>
      <c r="F41" t="s">
        <v>144</v>
      </c>
    </row>
    <row r="42" spans="1:6" x14ac:dyDescent="0.15">
      <c r="A42">
        <v>2</v>
      </c>
      <c r="B42" t="s">
        <v>12</v>
      </c>
      <c r="C42">
        <v>4</v>
      </c>
      <c r="D42" t="s">
        <v>32</v>
      </c>
      <c r="E42">
        <v>1</v>
      </c>
      <c r="F42" t="s">
        <v>33</v>
      </c>
    </row>
    <row r="43" spans="1:6" x14ac:dyDescent="0.15">
      <c r="A43">
        <v>2</v>
      </c>
      <c r="B43" t="s">
        <v>12</v>
      </c>
      <c r="C43">
        <v>4</v>
      </c>
      <c r="D43" t="s">
        <v>32</v>
      </c>
      <c r="E43">
        <v>2</v>
      </c>
      <c r="F43" t="s">
        <v>126</v>
      </c>
    </row>
    <row r="44" spans="1:6" x14ac:dyDescent="0.15">
      <c r="A44">
        <v>2</v>
      </c>
      <c r="B44" t="s">
        <v>12</v>
      </c>
      <c r="C44">
        <v>4</v>
      </c>
      <c r="D44" t="s">
        <v>32</v>
      </c>
      <c r="E44">
        <v>3</v>
      </c>
      <c r="F44" t="s">
        <v>127</v>
      </c>
    </row>
    <row r="45" spans="1:6" x14ac:dyDescent="0.15">
      <c r="A45">
        <v>2</v>
      </c>
      <c r="B45" t="s">
        <v>12</v>
      </c>
      <c r="C45">
        <v>5</v>
      </c>
      <c r="D45" t="s">
        <v>34</v>
      </c>
      <c r="E45">
        <v>1</v>
      </c>
      <c r="F45" t="s">
        <v>35</v>
      </c>
    </row>
    <row r="46" spans="1:6" x14ac:dyDescent="0.15">
      <c r="A46">
        <v>2</v>
      </c>
      <c r="B46" t="s">
        <v>12</v>
      </c>
      <c r="C46">
        <v>5</v>
      </c>
      <c r="D46" t="s">
        <v>34</v>
      </c>
      <c r="E46">
        <v>2</v>
      </c>
      <c r="F46" t="s">
        <v>36</v>
      </c>
    </row>
    <row r="47" spans="1:6" x14ac:dyDescent="0.15">
      <c r="A47">
        <v>2</v>
      </c>
      <c r="B47" t="s">
        <v>12</v>
      </c>
      <c r="C47">
        <v>5</v>
      </c>
      <c r="D47" t="s">
        <v>34</v>
      </c>
      <c r="E47">
        <v>3</v>
      </c>
      <c r="F47" t="s">
        <v>145</v>
      </c>
    </row>
    <row r="48" spans="1:6" x14ac:dyDescent="0.15">
      <c r="A48">
        <v>2</v>
      </c>
      <c r="B48" t="s">
        <v>12</v>
      </c>
      <c r="C48">
        <v>6</v>
      </c>
      <c r="D48" t="s">
        <v>37</v>
      </c>
      <c r="E48">
        <v>1</v>
      </c>
      <c r="F48" t="s">
        <v>38</v>
      </c>
    </row>
    <row r="49" spans="1:6" x14ac:dyDescent="0.15">
      <c r="A49">
        <v>2</v>
      </c>
      <c r="B49" t="s">
        <v>12</v>
      </c>
      <c r="C49">
        <v>6</v>
      </c>
      <c r="D49" t="s">
        <v>37</v>
      </c>
      <c r="E49">
        <v>2</v>
      </c>
      <c r="F49" t="s">
        <v>146</v>
      </c>
    </row>
    <row r="50" spans="1:6" x14ac:dyDescent="0.15">
      <c r="A50">
        <v>2</v>
      </c>
      <c r="B50" t="s">
        <v>12</v>
      </c>
      <c r="C50">
        <v>7</v>
      </c>
      <c r="D50" t="s">
        <v>39</v>
      </c>
      <c r="E50">
        <v>1</v>
      </c>
      <c r="F50" s="3" t="s">
        <v>40</v>
      </c>
    </row>
    <row r="51" spans="1:6" x14ac:dyDescent="0.15">
      <c r="A51">
        <v>2</v>
      </c>
      <c r="B51" t="s">
        <v>12</v>
      </c>
      <c r="C51">
        <v>7</v>
      </c>
      <c r="D51" t="s">
        <v>39</v>
      </c>
      <c r="E51">
        <v>2</v>
      </c>
      <c r="F51" s="3" t="s">
        <v>41</v>
      </c>
    </row>
    <row r="52" spans="1:6" x14ac:dyDescent="0.15">
      <c r="A52">
        <v>2</v>
      </c>
      <c r="B52" t="s">
        <v>12</v>
      </c>
      <c r="C52">
        <v>7</v>
      </c>
      <c r="D52" t="s">
        <v>39</v>
      </c>
      <c r="E52">
        <v>3</v>
      </c>
      <c r="F52" s="3" t="s">
        <v>131</v>
      </c>
    </row>
    <row r="53" spans="1:6" x14ac:dyDescent="0.15">
      <c r="A53">
        <v>2</v>
      </c>
      <c r="B53" t="s">
        <v>12</v>
      </c>
      <c r="C53">
        <v>7</v>
      </c>
      <c r="D53" t="s">
        <v>39</v>
      </c>
      <c r="E53">
        <v>4</v>
      </c>
      <c r="F53" t="s">
        <v>148</v>
      </c>
    </row>
    <row r="54" spans="1:6" x14ac:dyDescent="0.15">
      <c r="A54">
        <v>2</v>
      </c>
      <c r="B54" t="s">
        <v>12</v>
      </c>
      <c r="C54">
        <v>7</v>
      </c>
      <c r="D54" t="s">
        <v>39</v>
      </c>
      <c r="E54">
        <v>5</v>
      </c>
      <c r="F54" s="3" t="s">
        <v>147</v>
      </c>
    </row>
    <row r="55" spans="1:6" x14ac:dyDescent="0.15">
      <c r="A55">
        <v>2</v>
      </c>
      <c r="B55" t="s">
        <v>12</v>
      </c>
      <c r="C55">
        <v>8</v>
      </c>
      <c r="D55" t="s">
        <v>42</v>
      </c>
      <c r="E55">
        <v>1</v>
      </c>
      <c r="F55" t="s">
        <v>43</v>
      </c>
    </row>
    <row r="56" spans="1:6" x14ac:dyDescent="0.15">
      <c r="A56">
        <v>2</v>
      </c>
      <c r="B56" t="s">
        <v>12</v>
      </c>
      <c r="C56">
        <v>8</v>
      </c>
      <c r="D56" t="s">
        <v>42</v>
      </c>
      <c r="E56">
        <v>2</v>
      </c>
      <c r="F56" t="s">
        <v>44</v>
      </c>
    </row>
    <row r="57" spans="1:6" x14ac:dyDescent="0.15">
      <c r="A57">
        <v>2</v>
      </c>
      <c r="B57" t="s">
        <v>12</v>
      </c>
      <c r="C57">
        <v>8</v>
      </c>
      <c r="D57" t="s">
        <v>42</v>
      </c>
      <c r="E57">
        <v>3</v>
      </c>
      <c r="F57" t="s">
        <v>45</v>
      </c>
    </row>
    <row r="58" spans="1:6" x14ac:dyDescent="0.15">
      <c r="A58">
        <v>2</v>
      </c>
      <c r="B58" t="s">
        <v>12</v>
      </c>
      <c r="C58">
        <v>8</v>
      </c>
      <c r="D58" t="s">
        <v>42</v>
      </c>
      <c r="E58">
        <v>4</v>
      </c>
      <c r="F58" t="s">
        <v>46</v>
      </c>
    </row>
    <row r="59" spans="1:6" x14ac:dyDescent="0.15">
      <c r="A59">
        <v>2</v>
      </c>
      <c r="B59" t="s">
        <v>12</v>
      </c>
      <c r="C59">
        <v>8</v>
      </c>
      <c r="D59" t="s">
        <v>42</v>
      </c>
      <c r="E59">
        <v>5</v>
      </c>
      <c r="F59" t="s">
        <v>47</v>
      </c>
    </row>
    <row r="60" spans="1:6" x14ac:dyDescent="0.15">
      <c r="A60">
        <v>2</v>
      </c>
      <c r="B60" t="s">
        <v>12</v>
      </c>
      <c r="C60">
        <v>8</v>
      </c>
      <c r="D60" t="s">
        <v>42</v>
      </c>
      <c r="E60">
        <v>6</v>
      </c>
      <c r="F60" t="s">
        <v>149</v>
      </c>
    </row>
    <row r="61" spans="1:6" x14ac:dyDescent="0.15">
      <c r="A61">
        <v>2</v>
      </c>
      <c r="B61" t="s">
        <v>12</v>
      </c>
      <c r="C61">
        <v>9</v>
      </c>
      <c r="D61" t="s">
        <v>48</v>
      </c>
      <c r="E61">
        <v>1</v>
      </c>
      <c r="F61" t="s">
        <v>49</v>
      </c>
    </row>
    <row r="62" spans="1:6" x14ac:dyDescent="0.15">
      <c r="A62">
        <v>2</v>
      </c>
      <c r="B62" t="s">
        <v>12</v>
      </c>
      <c r="C62">
        <v>9</v>
      </c>
      <c r="D62" t="s">
        <v>48</v>
      </c>
      <c r="E62">
        <v>2</v>
      </c>
      <c r="F62" t="s">
        <v>50</v>
      </c>
    </row>
    <row r="63" spans="1:6" x14ac:dyDescent="0.15">
      <c r="A63">
        <v>2</v>
      </c>
      <c r="B63" t="s">
        <v>12</v>
      </c>
      <c r="C63">
        <v>9</v>
      </c>
      <c r="D63" t="s">
        <v>48</v>
      </c>
      <c r="E63">
        <v>3</v>
      </c>
      <c r="F63" t="s">
        <v>51</v>
      </c>
    </row>
    <row r="64" spans="1:6" x14ac:dyDescent="0.15">
      <c r="A64">
        <v>2</v>
      </c>
      <c r="B64" t="s">
        <v>12</v>
      </c>
      <c r="C64">
        <v>9</v>
      </c>
      <c r="D64" t="s">
        <v>48</v>
      </c>
      <c r="E64">
        <v>4</v>
      </c>
      <c r="F64" t="s">
        <v>52</v>
      </c>
    </row>
    <row r="65" spans="1:6" x14ac:dyDescent="0.15">
      <c r="A65">
        <v>2</v>
      </c>
      <c r="B65" t="s">
        <v>12</v>
      </c>
      <c r="C65">
        <v>9</v>
      </c>
      <c r="D65" t="s">
        <v>48</v>
      </c>
      <c r="E65">
        <v>5</v>
      </c>
      <c r="F65" t="s">
        <v>53</v>
      </c>
    </row>
    <row r="66" spans="1:6" x14ac:dyDescent="0.15">
      <c r="A66">
        <v>2</v>
      </c>
      <c r="B66" t="s">
        <v>12</v>
      </c>
      <c r="C66">
        <v>9</v>
      </c>
      <c r="D66" t="s">
        <v>48</v>
      </c>
      <c r="E66">
        <v>6</v>
      </c>
      <c r="F66" t="s">
        <v>50</v>
      </c>
    </row>
    <row r="67" spans="1:6" x14ac:dyDescent="0.15">
      <c r="A67">
        <v>2</v>
      </c>
      <c r="B67" t="s">
        <v>12</v>
      </c>
      <c r="C67">
        <v>9</v>
      </c>
      <c r="D67" t="s">
        <v>48</v>
      </c>
      <c r="E67">
        <v>7</v>
      </c>
      <c r="F67" t="s">
        <v>110</v>
      </c>
    </row>
    <row r="68" spans="1:6" x14ac:dyDescent="0.15">
      <c r="A68">
        <v>2</v>
      </c>
      <c r="B68" t="s">
        <v>12</v>
      </c>
      <c r="C68">
        <v>9</v>
      </c>
      <c r="D68" t="s">
        <v>48</v>
      </c>
      <c r="E68">
        <v>8</v>
      </c>
      <c r="F68" t="s">
        <v>111</v>
      </c>
    </row>
    <row r="69" spans="1:6" x14ac:dyDescent="0.15">
      <c r="A69">
        <v>2</v>
      </c>
      <c r="B69" t="s">
        <v>12</v>
      </c>
      <c r="C69">
        <v>9</v>
      </c>
      <c r="D69" t="s">
        <v>48</v>
      </c>
      <c r="E69">
        <v>9</v>
      </c>
      <c r="F69" t="s">
        <v>112</v>
      </c>
    </row>
    <row r="70" spans="1:6" x14ac:dyDescent="0.15">
      <c r="A70">
        <v>2</v>
      </c>
      <c r="B70" t="s">
        <v>12</v>
      </c>
      <c r="C70">
        <v>9</v>
      </c>
      <c r="D70" t="s">
        <v>48</v>
      </c>
      <c r="E70">
        <v>10</v>
      </c>
      <c r="F70" t="s">
        <v>113</v>
      </c>
    </row>
    <row r="71" spans="1:6" x14ac:dyDescent="0.15">
      <c r="A71">
        <v>2</v>
      </c>
      <c r="B71" t="s">
        <v>12</v>
      </c>
      <c r="C71">
        <v>9</v>
      </c>
      <c r="D71" t="s">
        <v>48</v>
      </c>
      <c r="E71">
        <v>11</v>
      </c>
      <c r="F71" t="s">
        <v>114</v>
      </c>
    </row>
    <row r="72" spans="1:6" x14ac:dyDescent="0.15">
      <c r="A72">
        <v>2</v>
      </c>
      <c r="B72" t="s">
        <v>12</v>
      </c>
      <c r="C72">
        <v>9</v>
      </c>
      <c r="D72" t="s">
        <v>48</v>
      </c>
      <c r="E72">
        <v>12</v>
      </c>
      <c r="F72" t="s">
        <v>115</v>
      </c>
    </row>
    <row r="73" spans="1:6" x14ac:dyDescent="0.15">
      <c r="A73">
        <v>2</v>
      </c>
      <c r="B73" t="s">
        <v>12</v>
      </c>
      <c r="C73">
        <v>9</v>
      </c>
      <c r="D73" t="s">
        <v>48</v>
      </c>
      <c r="E73">
        <v>13</v>
      </c>
      <c r="F73" t="s">
        <v>116</v>
      </c>
    </row>
    <row r="74" spans="1:6" x14ac:dyDescent="0.15">
      <c r="A74">
        <v>2</v>
      </c>
      <c r="B74" t="s">
        <v>12</v>
      </c>
      <c r="C74">
        <v>9</v>
      </c>
      <c r="D74" t="s">
        <v>48</v>
      </c>
      <c r="E74">
        <v>13</v>
      </c>
      <c r="F74" t="s">
        <v>117</v>
      </c>
    </row>
    <row r="75" spans="1:6" x14ac:dyDescent="0.15">
      <c r="A75">
        <v>2</v>
      </c>
      <c r="B75" t="s">
        <v>12</v>
      </c>
      <c r="C75">
        <v>9</v>
      </c>
      <c r="D75" t="s">
        <v>48</v>
      </c>
      <c r="E75">
        <v>14</v>
      </c>
      <c r="F75" t="s">
        <v>121</v>
      </c>
    </row>
    <row r="76" spans="1:6" x14ac:dyDescent="0.15">
      <c r="A76">
        <v>2</v>
      </c>
      <c r="B76" t="s">
        <v>12</v>
      </c>
      <c r="C76">
        <v>9</v>
      </c>
      <c r="D76" t="s">
        <v>48</v>
      </c>
      <c r="E76">
        <v>15</v>
      </c>
      <c r="F76" t="s">
        <v>122</v>
      </c>
    </row>
    <row r="77" spans="1:6" x14ac:dyDescent="0.15">
      <c r="A77">
        <v>2</v>
      </c>
      <c r="B77" t="s">
        <v>12</v>
      </c>
      <c r="C77">
        <v>9</v>
      </c>
      <c r="D77" t="s">
        <v>48</v>
      </c>
      <c r="E77">
        <v>16</v>
      </c>
      <c r="F77" t="s">
        <v>123</v>
      </c>
    </row>
    <row r="78" spans="1:6" x14ac:dyDescent="0.15">
      <c r="A78">
        <v>2</v>
      </c>
      <c r="B78" t="s">
        <v>12</v>
      </c>
      <c r="C78">
        <v>10</v>
      </c>
      <c r="D78" t="s">
        <v>54</v>
      </c>
      <c r="E78">
        <v>1</v>
      </c>
      <c r="F78" t="s">
        <v>55</v>
      </c>
    </row>
    <row r="79" spans="1:6" x14ac:dyDescent="0.15">
      <c r="A79">
        <v>2</v>
      </c>
      <c r="B79" t="s">
        <v>12</v>
      </c>
      <c r="C79">
        <v>10</v>
      </c>
      <c r="D79" t="s">
        <v>54</v>
      </c>
      <c r="E79">
        <v>2</v>
      </c>
      <c r="F79" t="s">
        <v>56</v>
      </c>
    </row>
    <row r="80" spans="1:6" x14ac:dyDescent="0.15">
      <c r="A80">
        <v>2</v>
      </c>
      <c r="B80" t="s">
        <v>12</v>
      </c>
      <c r="C80">
        <v>10</v>
      </c>
      <c r="D80" t="s">
        <v>54</v>
      </c>
      <c r="E80">
        <v>3</v>
      </c>
      <c r="F80" t="s">
        <v>57</v>
      </c>
    </row>
    <row r="81" spans="1:6" x14ac:dyDescent="0.15">
      <c r="A81">
        <v>2</v>
      </c>
      <c r="B81" t="s">
        <v>12</v>
      </c>
      <c r="C81">
        <v>10</v>
      </c>
      <c r="D81" t="s">
        <v>54</v>
      </c>
      <c r="E81">
        <v>4</v>
      </c>
      <c r="F81" t="s">
        <v>58</v>
      </c>
    </row>
    <row r="82" spans="1:6" x14ac:dyDescent="0.15">
      <c r="A82">
        <v>2</v>
      </c>
      <c r="B82" t="s">
        <v>12</v>
      </c>
      <c r="C82">
        <v>10</v>
      </c>
      <c r="D82" t="s">
        <v>54</v>
      </c>
      <c r="E82">
        <v>5</v>
      </c>
      <c r="F82" t="s">
        <v>59</v>
      </c>
    </row>
    <row r="83" spans="1:6" x14ac:dyDescent="0.15">
      <c r="A83">
        <v>2</v>
      </c>
      <c r="B83" t="s">
        <v>12</v>
      </c>
      <c r="C83">
        <v>10</v>
      </c>
      <c r="D83" t="s">
        <v>54</v>
      </c>
      <c r="E83">
        <v>6</v>
      </c>
      <c r="F83" t="s">
        <v>60</v>
      </c>
    </row>
    <row r="84" spans="1:6" x14ac:dyDescent="0.15">
      <c r="A84">
        <v>2</v>
      </c>
      <c r="B84" t="s">
        <v>12</v>
      </c>
      <c r="C84">
        <v>10</v>
      </c>
      <c r="D84" t="s">
        <v>54</v>
      </c>
      <c r="E84">
        <v>7</v>
      </c>
      <c r="F84" t="s">
        <v>61</v>
      </c>
    </row>
    <row r="85" spans="1:6" x14ac:dyDescent="0.15">
      <c r="A85">
        <v>2</v>
      </c>
      <c r="B85" t="s">
        <v>12</v>
      </c>
      <c r="C85">
        <v>10</v>
      </c>
      <c r="D85" t="s">
        <v>54</v>
      </c>
      <c r="E85">
        <v>8</v>
      </c>
      <c r="F85" t="s">
        <v>62</v>
      </c>
    </row>
    <row r="86" spans="1:6" x14ac:dyDescent="0.15">
      <c r="A86">
        <v>2</v>
      </c>
      <c r="B86" t="s">
        <v>12</v>
      </c>
      <c r="C86">
        <v>10</v>
      </c>
      <c r="D86" t="s">
        <v>54</v>
      </c>
      <c r="E86">
        <v>9</v>
      </c>
      <c r="F86" t="s">
        <v>63</v>
      </c>
    </row>
    <row r="87" spans="1:6" x14ac:dyDescent="0.15">
      <c r="A87">
        <v>2</v>
      </c>
      <c r="B87" t="s">
        <v>12</v>
      </c>
      <c r="C87">
        <v>10</v>
      </c>
      <c r="D87" t="s">
        <v>54</v>
      </c>
      <c r="E87">
        <v>10</v>
      </c>
      <c r="F87" t="s">
        <v>118</v>
      </c>
    </row>
    <row r="88" spans="1:6" x14ac:dyDescent="0.15">
      <c r="A88">
        <v>2</v>
      </c>
      <c r="B88" t="s">
        <v>12</v>
      </c>
      <c r="C88">
        <v>10</v>
      </c>
      <c r="D88" t="s">
        <v>54</v>
      </c>
      <c r="E88">
        <v>11</v>
      </c>
      <c r="F88" t="s">
        <v>119</v>
      </c>
    </row>
    <row r="89" spans="1:6" x14ac:dyDescent="0.15">
      <c r="A89">
        <v>2</v>
      </c>
      <c r="B89" t="s">
        <v>12</v>
      </c>
      <c r="C89">
        <v>10</v>
      </c>
      <c r="D89" t="s">
        <v>54</v>
      </c>
      <c r="E89">
        <v>12</v>
      </c>
      <c r="F89" t="s">
        <v>120</v>
      </c>
    </row>
    <row r="90" spans="1:6" x14ac:dyDescent="0.15">
      <c r="A90">
        <v>2</v>
      </c>
      <c r="B90" t="s">
        <v>12</v>
      </c>
      <c r="C90">
        <v>11</v>
      </c>
      <c r="D90" t="s">
        <v>9</v>
      </c>
      <c r="E90">
        <v>1</v>
      </c>
      <c r="F90" t="s">
        <v>64</v>
      </c>
    </row>
    <row r="91" spans="1:6" x14ac:dyDescent="0.15">
      <c r="A91">
        <v>2</v>
      </c>
      <c r="B91" t="s">
        <v>12</v>
      </c>
      <c r="C91">
        <v>11</v>
      </c>
      <c r="D91" t="s">
        <v>9</v>
      </c>
      <c r="E91">
        <v>2</v>
      </c>
      <c r="F91" t="s">
        <v>124</v>
      </c>
    </row>
    <row r="92" spans="1:6" x14ac:dyDescent="0.15">
      <c r="A92">
        <v>2</v>
      </c>
      <c r="B92" t="s">
        <v>12</v>
      </c>
      <c r="C92">
        <v>11</v>
      </c>
      <c r="D92" t="s">
        <v>9</v>
      </c>
      <c r="E92">
        <v>3</v>
      </c>
      <c r="F92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D739-8287-6840-8851-E570F8A324FF}">
  <dimension ref="A3:J95"/>
  <sheetViews>
    <sheetView zoomScale="125" workbookViewId="0">
      <selection activeCell="D12" sqref="D12"/>
    </sheetView>
  </sheetViews>
  <sheetFormatPr baseColWidth="10" defaultRowHeight="13" x14ac:dyDescent="0.15"/>
  <cols>
    <col min="1" max="1" width="31" bestFit="1" customWidth="1"/>
    <col min="2" max="2" width="15.83203125" bestFit="1" customWidth="1"/>
    <col min="3" max="3" width="13.1640625" bestFit="1" customWidth="1"/>
    <col min="4" max="4" width="27.6640625" bestFit="1" customWidth="1"/>
    <col min="5" max="5" width="16" bestFit="1" customWidth="1"/>
    <col min="6" max="6" width="14.6640625" bestFit="1" customWidth="1"/>
    <col min="7" max="9" width="14.6640625" style="5" bestFit="1" customWidth="1"/>
    <col min="10" max="10" width="13.83203125" style="5" bestFit="1" customWidth="1"/>
  </cols>
  <sheetData>
    <row r="3" spans="1:10" x14ac:dyDescent="0.15">
      <c r="A3" s="2" t="s">
        <v>79</v>
      </c>
      <c r="F3" s="2" t="s">
        <v>80</v>
      </c>
      <c r="G3" s="7" t="s">
        <v>74</v>
      </c>
      <c r="H3" s="7" t="s">
        <v>81</v>
      </c>
      <c r="I3" s="6"/>
      <c r="J3" s="6"/>
    </row>
    <row r="4" spans="1:10" x14ac:dyDescent="0.15">
      <c r="F4" t="s">
        <v>75</v>
      </c>
      <c r="G4" s="6" t="s">
        <v>76</v>
      </c>
      <c r="H4" s="6" t="s">
        <v>77</v>
      </c>
      <c r="I4" s="6" t="s">
        <v>78</v>
      </c>
      <c r="J4" s="6" t="s">
        <v>72</v>
      </c>
    </row>
    <row r="5" spans="1:10" x14ac:dyDescent="0.15">
      <c r="G5"/>
      <c r="H5"/>
      <c r="I5"/>
      <c r="J5" s="6"/>
    </row>
    <row r="6" spans="1:10" x14ac:dyDescent="0.15">
      <c r="A6" s="2" t="s">
        <v>65</v>
      </c>
      <c r="B6" s="2" t="s">
        <v>70</v>
      </c>
      <c r="C6" s="2" t="s">
        <v>66</v>
      </c>
      <c r="D6" s="2" t="s">
        <v>69</v>
      </c>
      <c r="E6" s="2" t="s">
        <v>67</v>
      </c>
      <c r="G6"/>
      <c r="H6"/>
      <c r="I6"/>
      <c r="J6" s="6"/>
    </row>
    <row r="7" spans="1:10" x14ac:dyDescent="0.15">
      <c r="A7">
        <v>1</v>
      </c>
      <c r="B7" t="s">
        <v>0</v>
      </c>
      <c r="C7">
        <v>1</v>
      </c>
      <c r="D7" t="s">
        <v>1</v>
      </c>
      <c r="E7">
        <v>1</v>
      </c>
      <c r="F7" s="8"/>
      <c r="G7" s="6">
        <v>33345</v>
      </c>
      <c r="H7" s="6">
        <v>28899</v>
      </c>
      <c r="I7" s="6">
        <v>31122</v>
      </c>
      <c r="J7" s="6">
        <v>93366</v>
      </c>
    </row>
    <row r="8" spans="1:10" x14ac:dyDescent="0.15">
      <c r="E8">
        <v>2</v>
      </c>
      <c r="F8" s="8"/>
      <c r="G8" s="6">
        <v>0</v>
      </c>
      <c r="H8" s="6">
        <v>0</v>
      </c>
      <c r="I8" s="6">
        <v>2223</v>
      </c>
      <c r="J8" s="6">
        <v>2223</v>
      </c>
    </row>
    <row r="9" spans="1:10" x14ac:dyDescent="0.15">
      <c r="D9" t="s">
        <v>82</v>
      </c>
      <c r="F9" s="8"/>
      <c r="G9" s="6">
        <v>33345</v>
      </c>
      <c r="H9" s="6">
        <v>28899</v>
      </c>
      <c r="I9" s="6">
        <v>33345</v>
      </c>
      <c r="J9" s="6">
        <v>95589</v>
      </c>
    </row>
    <row r="10" spans="1:10" x14ac:dyDescent="0.15">
      <c r="C10" t="s">
        <v>83</v>
      </c>
      <c r="F10" s="8"/>
      <c r="G10" s="6">
        <v>33345</v>
      </c>
      <c r="H10" s="6">
        <v>28899</v>
      </c>
      <c r="I10" s="6">
        <v>33345</v>
      </c>
      <c r="J10" s="6">
        <v>95589</v>
      </c>
    </row>
    <row r="11" spans="1:10" x14ac:dyDescent="0.15">
      <c r="C11">
        <v>2</v>
      </c>
      <c r="D11" t="s">
        <v>4</v>
      </c>
      <c r="E11">
        <v>1</v>
      </c>
      <c r="F11" s="8"/>
      <c r="G11" s="6">
        <v>0</v>
      </c>
      <c r="H11" s="6">
        <v>0</v>
      </c>
      <c r="I11" s="6">
        <v>1404.26</v>
      </c>
      <c r="J11" s="6">
        <v>1404.26</v>
      </c>
    </row>
    <row r="12" spans="1:10" x14ac:dyDescent="0.15">
      <c r="E12">
        <v>2</v>
      </c>
      <c r="F12" s="8"/>
      <c r="G12" s="6">
        <v>-3334.5</v>
      </c>
      <c r="H12" s="6">
        <v>-2667.6</v>
      </c>
      <c r="I12" s="6">
        <v>-3112.2</v>
      </c>
      <c r="J12" s="6">
        <v>-9114.2999999999993</v>
      </c>
    </row>
    <row r="13" spans="1:10" x14ac:dyDescent="0.15">
      <c r="D13" t="s">
        <v>84</v>
      </c>
      <c r="F13" s="8"/>
      <c r="G13" s="6">
        <v>-3334.5</v>
      </c>
      <c r="H13" s="6">
        <v>-2667.6</v>
      </c>
      <c r="I13" s="6">
        <v>-1707.9399999999998</v>
      </c>
      <c r="J13" s="6">
        <v>-7710.0399999999991</v>
      </c>
    </row>
    <row r="14" spans="1:10" x14ac:dyDescent="0.15">
      <c r="C14" t="s">
        <v>85</v>
      </c>
      <c r="F14" s="8"/>
      <c r="G14" s="6">
        <v>-3334.5</v>
      </c>
      <c r="H14" s="6">
        <v>-2667.6</v>
      </c>
      <c r="I14" s="6">
        <v>-1707.9399999999998</v>
      </c>
      <c r="J14" s="6">
        <v>-7710.0399999999991</v>
      </c>
    </row>
    <row r="15" spans="1:10" x14ac:dyDescent="0.15">
      <c r="C15">
        <v>3</v>
      </c>
      <c r="D15" t="s">
        <v>7</v>
      </c>
      <c r="E15">
        <v>1</v>
      </c>
      <c r="F15" s="8"/>
      <c r="G15" s="6">
        <v>994.48</v>
      </c>
      <c r="H15" s="6">
        <v>287.45</v>
      </c>
      <c r="I15" s="6">
        <v>348.91</v>
      </c>
      <c r="J15" s="6">
        <v>1630.8400000000001</v>
      </c>
    </row>
    <row r="16" spans="1:10" x14ac:dyDescent="0.15">
      <c r="D16" t="s">
        <v>86</v>
      </c>
      <c r="F16" s="8"/>
      <c r="G16" s="6">
        <v>994.48</v>
      </c>
      <c r="H16" s="6">
        <v>287.45</v>
      </c>
      <c r="I16" s="6">
        <v>348.91</v>
      </c>
      <c r="J16" s="6">
        <v>1630.8400000000001</v>
      </c>
    </row>
    <row r="17" spans="1:10" x14ac:dyDescent="0.15">
      <c r="C17" t="s">
        <v>87</v>
      </c>
      <c r="F17" s="8"/>
      <c r="G17" s="6">
        <v>994.48</v>
      </c>
      <c r="H17" s="6">
        <v>287.45</v>
      </c>
      <c r="I17" s="6">
        <v>348.91</v>
      </c>
      <c r="J17" s="6">
        <v>1630.8400000000001</v>
      </c>
    </row>
    <row r="18" spans="1:10" x14ac:dyDescent="0.15">
      <c r="C18">
        <v>4</v>
      </c>
      <c r="D18" t="s">
        <v>9</v>
      </c>
      <c r="E18">
        <v>1</v>
      </c>
      <c r="F18" s="8"/>
      <c r="G18" s="6">
        <v>0</v>
      </c>
      <c r="H18" s="6">
        <v>2.19</v>
      </c>
      <c r="I18" s="6">
        <v>26.28</v>
      </c>
      <c r="J18" s="6">
        <v>28.470000000000002</v>
      </c>
    </row>
    <row r="19" spans="1:10" x14ac:dyDescent="0.15">
      <c r="E19">
        <v>2</v>
      </c>
      <c r="F19" s="8"/>
      <c r="G19" s="6">
        <v>0</v>
      </c>
      <c r="H19" s="6">
        <v>44.46</v>
      </c>
      <c r="I19" s="6">
        <v>44.46</v>
      </c>
      <c r="J19" s="6">
        <v>88.92</v>
      </c>
    </row>
    <row r="20" spans="1:10" x14ac:dyDescent="0.15">
      <c r="D20" t="s">
        <v>88</v>
      </c>
      <c r="F20" s="8"/>
      <c r="G20" s="6">
        <v>0</v>
      </c>
      <c r="H20" s="6">
        <v>46.65</v>
      </c>
      <c r="I20" s="6">
        <v>70.740000000000009</v>
      </c>
      <c r="J20" s="6">
        <v>117.39</v>
      </c>
    </row>
    <row r="21" spans="1:10" x14ac:dyDescent="0.15">
      <c r="C21" t="s">
        <v>89</v>
      </c>
      <c r="F21" s="8"/>
      <c r="G21" s="6">
        <v>0</v>
      </c>
      <c r="H21" s="6">
        <v>46.65</v>
      </c>
      <c r="I21" s="6">
        <v>70.740000000000009</v>
      </c>
      <c r="J21" s="6">
        <v>117.39</v>
      </c>
    </row>
    <row r="22" spans="1:10" x14ac:dyDescent="0.15">
      <c r="B22" t="s">
        <v>90</v>
      </c>
      <c r="F22" s="8"/>
      <c r="G22" s="6">
        <v>31004.98</v>
      </c>
      <c r="H22" s="6">
        <v>26565.5</v>
      </c>
      <c r="I22" s="6">
        <v>32056.71</v>
      </c>
      <c r="J22" s="6">
        <v>89627.189999999988</v>
      </c>
    </row>
    <row r="23" spans="1:10" x14ac:dyDescent="0.15">
      <c r="A23" t="s">
        <v>83</v>
      </c>
      <c r="F23" s="8"/>
      <c r="G23" s="6">
        <v>31004.98</v>
      </c>
      <c r="H23" s="6">
        <v>26565.5</v>
      </c>
      <c r="I23" s="6">
        <v>32056.71</v>
      </c>
      <c r="J23" s="6">
        <v>89627.189999999988</v>
      </c>
    </row>
    <row r="24" spans="1:10" x14ac:dyDescent="0.15">
      <c r="A24">
        <v>2</v>
      </c>
      <c r="B24" t="s">
        <v>12</v>
      </c>
      <c r="C24">
        <v>1</v>
      </c>
      <c r="D24" t="s">
        <v>13</v>
      </c>
      <c r="E24">
        <v>1</v>
      </c>
      <c r="F24" s="8"/>
      <c r="G24" s="6">
        <v>7109.65</v>
      </c>
      <c r="H24" s="6">
        <v>6585.35</v>
      </c>
      <c r="I24" s="6">
        <v>7176.24</v>
      </c>
      <c r="J24" s="6">
        <v>20871.239999999998</v>
      </c>
    </row>
    <row r="25" spans="1:10" x14ac:dyDescent="0.15">
      <c r="E25">
        <v>2</v>
      </c>
      <c r="F25" s="8"/>
      <c r="G25" s="6">
        <v>0</v>
      </c>
      <c r="H25" s="6">
        <v>1691.16</v>
      </c>
      <c r="I25" s="6">
        <v>0</v>
      </c>
      <c r="J25" s="6">
        <v>1691.16</v>
      </c>
    </row>
    <row r="26" spans="1:10" x14ac:dyDescent="0.15">
      <c r="E26">
        <v>3</v>
      </c>
      <c r="F26" s="8"/>
      <c r="G26" s="6">
        <v>2675.64</v>
      </c>
      <c r="H26" s="6">
        <v>2816.97</v>
      </c>
      <c r="I26" s="6">
        <v>2737.81</v>
      </c>
      <c r="J26" s="6">
        <v>8230.42</v>
      </c>
    </row>
    <row r="27" spans="1:10" x14ac:dyDescent="0.15">
      <c r="E27">
        <v>4</v>
      </c>
      <c r="F27" s="8"/>
      <c r="G27" s="6">
        <v>576.37</v>
      </c>
      <c r="H27" s="6">
        <v>567.29</v>
      </c>
      <c r="I27" s="6">
        <v>525.52</v>
      </c>
      <c r="J27" s="6">
        <v>1669.1799999999998</v>
      </c>
    </row>
    <row r="28" spans="1:10" x14ac:dyDescent="0.15">
      <c r="E28">
        <v>5</v>
      </c>
      <c r="F28" s="8"/>
      <c r="G28" s="6">
        <v>960</v>
      </c>
      <c r="H28" s="6">
        <v>620</v>
      </c>
      <c r="I28" s="6">
        <v>1400</v>
      </c>
      <c r="J28" s="6">
        <v>2980</v>
      </c>
    </row>
    <row r="29" spans="1:10" x14ac:dyDescent="0.15">
      <c r="E29">
        <v>6</v>
      </c>
      <c r="F29" s="8"/>
      <c r="G29" s="6">
        <v>151.19999999999999</v>
      </c>
      <c r="H29" s="6">
        <v>162</v>
      </c>
      <c r="I29" s="6">
        <v>324</v>
      </c>
      <c r="J29" s="6">
        <v>637.20000000000005</v>
      </c>
    </row>
    <row r="30" spans="1:10" x14ac:dyDescent="0.15">
      <c r="E30">
        <v>7</v>
      </c>
      <c r="F30" s="8"/>
      <c r="G30" s="6">
        <v>151.19999999999999</v>
      </c>
      <c r="H30" s="6">
        <v>172.8</v>
      </c>
      <c r="I30" s="6">
        <v>0</v>
      </c>
      <c r="J30" s="6">
        <v>324</v>
      </c>
    </row>
    <row r="31" spans="1:10" x14ac:dyDescent="0.15">
      <c r="E31">
        <v>8</v>
      </c>
      <c r="F31" s="8"/>
      <c r="G31" s="6">
        <v>527</v>
      </c>
      <c r="H31" s="6">
        <v>1003.99</v>
      </c>
      <c r="I31" s="6">
        <v>11.79</v>
      </c>
      <c r="J31" s="6">
        <v>1542.78</v>
      </c>
    </row>
    <row r="32" spans="1:10" x14ac:dyDescent="0.15">
      <c r="E32">
        <v>9</v>
      </c>
      <c r="F32" s="8"/>
      <c r="G32" s="6">
        <v>72.040000000000006</v>
      </c>
      <c r="H32" s="6">
        <v>76.239999999999995</v>
      </c>
      <c r="I32" s="6">
        <v>0</v>
      </c>
      <c r="J32" s="6">
        <v>148.28</v>
      </c>
    </row>
    <row r="33" spans="3:10" x14ac:dyDescent="0.15">
      <c r="E33">
        <v>10</v>
      </c>
      <c r="F33" s="8"/>
      <c r="G33" s="6">
        <v>240.27</v>
      </c>
      <c r="H33" s="6">
        <v>0</v>
      </c>
      <c r="I33" s="6">
        <v>0</v>
      </c>
      <c r="J33" s="6">
        <v>240.27</v>
      </c>
    </row>
    <row r="34" spans="3:10" x14ac:dyDescent="0.15">
      <c r="E34">
        <v>11</v>
      </c>
      <c r="F34" s="8"/>
      <c r="G34" s="6">
        <v>2800</v>
      </c>
      <c r="H34" s="6">
        <v>2800</v>
      </c>
      <c r="I34" s="6">
        <v>2800</v>
      </c>
      <c r="J34" s="6">
        <v>8400</v>
      </c>
    </row>
    <row r="35" spans="3:10" x14ac:dyDescent="0.15">
      <c r="D35" t="s">
        <v>91</v>
      </c>
      <c r="F35" s="8"/>
      <c r="G35" s="6">
        <v>15263.370000000003</v>
      </c>
      <c r="H35" s="6">
        <v>16495.8</v>
      </c>
      <c r="I35" s="6">
        <v>14975.36</v>
      </c>
      <c r="J35" s="6">
        <v>46734.529999999992</v>
      </c>
    </row>
    <row r="36" spans="3:10" x14ac:dyDescent="0.15">
      <c r="C36" t="s">
        <v>83</v>
      </c>
      <c r="F36" s="8"/>
      <c r="G36" s="6">
        <v>15263.370000000003</v>
      </c>
      <c r="H36" s="6">
        <v>16495.8</v>
      </c>
      <c r="I36" s="6">
        <v>14975.36</v>
      </c>
      <c r="J36" s="6">
        <v>46734.529999999992</v>
      </c>
    </row>
    <row r="37" spans="3:10" x14ac:dyDescent="0.15">
      <c r="C37">
        <v>2</v>
      </c>
      <c r="D37" t="s">
        <v>25</v>
      </c>
      <c r="E37">
        <v>1</v>
      </c>
      <c r="F37" s="8"/>
      <c r="G37" s="6">
        <v>1317.83</v>
      </c>
      <c r="H37" s="6">
        <v>1181.18</v>
      </c>
      <c r="I37" s="6">
        <v>1111.0999999999999</v>
      </c>
      <c r="J37" s="6">
        <v>3610.11</v>
      </c>
    </row>
    <row r="38" spans="3:10" x14ac:dyDescent="0.15">
      <c r="E38">
        <v>2</v>
      </c>
      <c r="F38" s="8"/>
      <c r="G38" s="6">
        <v>4944.16</v>
      </c>
      <c r="H38" s="6">
        <v>6226.24</v>
      </c>
      <c r="I38" s="6">
        <v>5798.88</v>
      </c>
      <c r="J38" s="6">
        <v>16969.28</v>
      </c>
    </row>
    <row r="39" spans="3:10" x14ac:dyDescent="0.15">
      <c r="E39">
        <v>3</v>
      </c>
      <c r="F39" s="8"/>
      <c r="G39" s="6">
        <v>124.99</v>
      </c>
      <c r="H39" s="6">
        <v>124.99</v>
      </c>
      <c r="I39" s="6">
        <v>128.5</v>
      </c>
      <c r="J39" s="6">
        <v>378.48</v>
      </c>
    </row>
    <row r="40" spans="3:10" x14ac:dyDescent="0.15">
      <c r="D40" t="s">
        <v>92</v>
      </c>
      <c r="F40" s="8"/>
      <c r="G40" s="6">
        <v>6386.98</v>
      </c>
      <c r="H40" s="6">
        <v>7532.41</v>
      </c>
      <c r="I40" s="6">
        <v>7038.48</v>
      </c>
      <c r="J40" s="6">
        <v>20957.87</v>
      </c>
    </row>
    <row r="41" spans="3:10" x14ac:dyDescent="0.15">
      <c r="C41" t="s">
        <v>85</v>
      </c>
      <c r="F41" s="8"/>
      <c r="G41" s="6">
        <v>6386.98</v>
      </c>
      <c r="H41" s="6">
        <v>7532.41</v>
      </c>
      <c r="I41" s="6">
        <v>7038.48</v>
      </c>
      <c r="J41" s="6">
        <v>20957.87</v>
      </c>
    </row>
    <row r="42" spans="3:10" x14ac:dyDescent="0.15">
      <c r="C42">
        <v>3</v>
      </c>
      <c r="D42" t="s">
        <v>29</v>
      </c>
      <c r="E42">
        <v>1</v>
      </c>
      <c r="F42" s="8"/>
      <c r="G42" s="6">
        <v>650</v>
      </c>
      <c r="H42" s="6">
        <v>650</v>
      </c>
      <c r="I42" s="6">
        <v>650</v>
      </c>
      <c r="J42" s="6">
        <v>1950</v>
      </c>
    </row>
    <row r="43" spans="3:10" x14ac:dyDescent="0.15">
      <c r="E43">
        <v>2</v>
      </c>
      <c r="F43" s="8"/>
      <c r="G43" s="6">
        <v>0</v>
      </c>
      <c r="H43" s="6">
        <v>1010</v>
      </c>
      <c r="I43" s="6">
        <v>0</v>
      </c>
      <c r="J43" s="6">
        <v>1010</v>
      </c>
    </row>
    <row r="44" spans="3:10" x14ac:dyDescent="0.15">
      <c r="D44" t="s">
        <v>93</v>
      </c>
      <c r="F44" s="8"/>
      <c r="G44" s="6">
        <v>650</v>
      </c>
      <c r="H44" s="6">
        <v>1660</v>
      </c>
      <c r="I44" s="6">
        <v>650</v>
      </c>
      <c r="J44" s="6">
        <v>2960</v>
      </c>
    </row>
    <row r="45" spans="3:10" x14ac:dyDescent="0.15">
      <c r="C45" t="s">
        <v>87</v>
      </c>
      <c r="F45" s="8"/>
      <c r="G45" s="6">
        <v>650</v>
      </c>
      <c r="H45" s="6">
        <v>1660</v>
      </c>
      <c r="I45" s="6">
        <v>650</v>
      </c>
      <c r="J45" s="6">
        <v>2960</v>
      </c>
    </row>
    <row r="46" spans="3:10" x14ac:dyDescent="0.15">
      <c r="C46">
        <v>4</v>
      </c>
      <c r="D46" t="s">
        <v>32</v>
      </c>
      <c r="E46">
        <v>1</v>
      </c>
      <c r="F46" s="8"/>
      <c r="G46" s="6">
        <v>349.33</v>
      </c>
      <c r="H46" s="6">
        <v>349.31</v>
      </c>
      <c r="I46" s="6">
        <v>0</v>
      </c>
      <c r="J46" s="6">
        <v>698.64</v>
      </c>
    </row>
    <row r="47" spans="3:10" x14ac:dyDescent="0.15">
      <c r="D47" t="s">
        <v>94</v>
      </c>
      <c r="F47" s="8"/>
      <c r="G47" s="6">
        <v>349.33</v>
      </c>
      <c r="H47" s="6">
        <v>349.31</v>
      </c>
      <c r="I47" s="6">
        <v>0</v>
      </c>
      <c r="J47" s="6">
        <v>698.64</v>
      </c>
    </row>
    <row r="48" spans="3:10" x14ac:dyDescent="0.15">
      <c r="C48" t="s">
        <v>89</v>
      </c>
      <c r="F48" s="8"/>
      <c r="G48" s="6">
        <v>349.33</v>
      </c>
      <c r="H48" s="6">
        <v>349.31</v>
      </c>
      <c r="I48" s="6">
        <v>0</v>
      </c>
      <c r="J48" s="6">
        <v>698.64</v>
      </c>
    </row>
    <row r="49" spans="3:10" x14ac:dyDescent="0.15">
      <c r="C49">
        <v>5</v>
      </c>
      <c r="D49" t="s">
        <v>34</v>
      </c>
      <c r="E49">
        <v>1</v>
      </c>
      <c r="F49" s="8"/>
      <c r="G49" s="6">
        <v>567.45000000000005</v>
      </c>
      <c r="H49" s="6">
        <v>573.35</v>
      </c>
      <c r="I49" s="6">
        <v>578.44000000000005</v>
      </c>
      <c r="J49" s="6">
        <v>1719.2400000000002</v>
      </c>
    </row>
    <row r="50" spans="3:10" x14ac:dyDescent="0.15">
      <c r="E50">
        <v>2</v>
      </c>
      <c r="F50" s="8"/>
      <c r="G50" s="6">
        <v>0.1</v>
      </c>
      <c r="H50" s="6">
        <v>1.8</v>
      </c>
      <c r="I50" s="6">
        <v>0.02</v>
      </c>
      <c r="J50" s="6">
        <v>1.9200000000000002</v>
      </c>
    </row>
    <row r="51" spans="3:10" x14ac:dyDescent="0.15">
      <c r="D51" t="s">
        <v>95</v>
      </c>
      <c r="F51" s="8"/>
      <c r="G51" s="6">
        <v>567.55000000000007</v>
      </c>
      <c r="H51" s="6">
        <v>575.15</v>
      </c>
      <c r="I51" s="6">
        <v>578.46</v>
      </c>
      <c r="J51" s="6">
        <v>1721.1600000000003</v>
      </c>
    </row>
    <row r="52" spans="3:10" x14ac:dyDescent="0.15">
      <c r="C52" t="s">
        <v>96</v>
      </c>
      <c r="F52" s="8"/>
      <c r="G52" s="6">
        <v>567.55000000000007</v>
      </c>
      <c r="H52" s="6">
        <v>575.15</v>
      </c>
      <c r="I52" s="6">
        <v>578.46</v>
      </c>
      <c r="J52" s="6">
        <v>1721.1600000000003</v>
      </c>
    </row>
    <row r="53" spans="3:10" x14ac:dyDescent="0.15">
      <c r="C53">
        <v>6</v>
      </c>
      <c r="D53" t="s">
        <v>37</v>
      </c>
      <c r="E53">
        <v>1</v>
      </c>
      <c r="F53" s="8"/>
      <c r="G53" s="6">
        <v>66.44</v>
      </c>
      <c r="H53" s="6">
        <v>66.430000000000007</v>
      </c>
      <c r="I53" s="6">
        <v>66.430000000000007</v>
      </c>
      <c r="J53" s="6">
        <v>199.3</v>
      </c>
    </row>
    <row r="54" spans="3:10" x14ac:dyDescent="0.15">
      <c r="D54" t="s">
        <v>97</v>
      </c>
      <c r="F54" s="8"/>
      <c r="G54" s="6">
        <v>66.44</v>
      </c>
      <c r="H54" s="6">
        <v>66.430000000000007</v>
      </c>
      <c r="I54" s="6">
        <v>66.430000000000007</v>
      </c>
      <c r="J54" s="6">
        <v>199.3</v>
      </c>
    </row>
    <row r="55" spans="3:10" x14ac:dyDescent="0.15">
      <c r="C55" t="s">
        <v>98</v>
      </c>
      <c r="F55" s="8"/>
      <c r="G55" s="6">
        <v>66.44</v>
      </c>
      <c r="H55" s="6">
        <v>66.430000000000007</v>
      </c>
      <c r="I55" s="6">
        <v>66.430000000000007</v>
      </c>
      <c r="J55" s="6">
        <v>199.3</v>
      </c>
    </row>
    <row r="56" spans="3:10" x14ac:dyDescent="0.15">
      <c r="C56">
        <v>7</v>
      </c>
      <c r="D56" t="s">
        <v>39</v>
      </c>
      <c r="E56">
        <v>1</v>
      </c>
      <c r="F56" s="8"/>
      <c r="G56" s="6">
        <v>22</v>
      </c>
      <c r="H56" s="6">
        <v>22</v>
      </c>
      <c r="I56" s="6">
        <v>22</v>
      </c>
      <c r="J56" s="6">
        <v>66</v>
      </c>
    </row>
    <row r="57" spans="3:10" x14ac:dyDescent="0.15">
      <c r="E57">
        <v>2</v>
      </c>
      <c r="F57" s="8"/>
      <c r="G57" s="6">
        <v>0</v>
      </c>
      <c r="H57" s="6">
        <v>16.86</v>
      </c>
      <c r="I57" s="6">
        <v>0</v>
      </c>
      <c r="J57" s="6">
        <v>16.86</v>
      </c>
    </row>
    <row r="58" spans="3:10" x14ac:dyDescent="0.15">
      <c r="D58" t="s">
        <v>99</v>
      </c>
      <c r="F58" s="8"/>
      <c r="G58" s="6">
        <v>22</v>
      </c>
      <c r="H58" s="6">
        <v>38.86</v>
      </c>
      <c r="I58" s="6">
        <v>22</v>
      </c>
      <c r="J58" s="6">
        <v>82.86</v>
      </c>
    </row>
    <row r="59" spans="3:10" x14ac:dyDescent="0.15">
      <c r="C59" t="s">
        <v>100</v>
      </c>
      <c r="F59" s="8"/>
      <c r="G59" s="6">
        <v>22</v>
      </c>
      <c r="H59" s="6">
        <v>38.86</v>
      </c>
      <c r="I59" s="6">
        <v>22</v>
      </c>
      <c r="J59" s="6">
        <v>82.86</v>
      </c>
    </row>
    <row r="60" spans="3:10" x14ac:dyDescent="0.15">
      <c r="C60">
        <v>8</v>
      </c>
      <c r="D60" t="s">
        <v>42</v>
      </c>
      <c r="E60">
        <v>1</v>
      </c>
      <c r="F60" s="8"/>
      <c r="G60" s="6">
        <v>1239.07</v>
      </c>
      <c r="H60" s="6">
        <v>1239.07</v>
      </c>
      <c r="I60" s="6">
        <v>1239.07</v>
      </c>
      <c r="J60" s="6">
        <v>3717.21</v>
      </c>
    </row>
    <row r="61" spans="3:10" x14ac:dyDescent="0.15">
      <c r="E61">
        <v>2</v>
      </c>
      <c r="F61" s="8"/>
      <c r="G61" s="6">
        <v>2.5</v>
      </c>
      <c r="H61" s="6">
        <v>0</v>
      </c>
      <c r="I61" s="6">
        <v>0</v>
      </c>
      <c r="J61" s="6">
        <v>2.5</v>
      </c>
    </row>
    <row r="62" spans="3:10" x14ac:dyDescent="0.15">
      <c r="E62">
        <v>3</v>
      </c>
      <c r="F62" s="8"/>
      <c r="G62" s="6">
        <v>9</v>
      </c>
      <c r="H62" s="6">
        <v>0</v>
      </c>
      <c r="I62" s="6">
        <v>0</v>
      </c>
      <c r="J62" s="6">
        <v>9</v>
      </c>
    </row>
    <row r="63" spans="3:10" x14ac:dyDescent="0.15">
      <c r="E63">
        <v>4</v>
      </c>
      <c r="F63" s="8"/>
      <c r="G63" s="6">
        <v>0</v>
      </c>
      <c r="H63" s="6">
        <v>0</v>
      </c>
      <c r="I63" s="6">
        <v>149.85</v>
      </c>
      <c r="J63" s="6">
        <v>149.85</v>
      </c>
    </row>
    <row r="64" spans="3:10" x14ac:dyDescent="0.15">
      <c r="E64">
        <v>5</v>
      </c>
      <c r="F64" s="8"/>
      <c r="G64" s="6">
        <v>200</v>
      </c>
      <c r="H64" s="6">
        <v>200</v>
      </c>
      <c r="I64" s="6">
        <v>200</v>
      </c>
      <c r="J64" s="6">
        <v>600</v>
      </c>
    </row>
    <row r="65" spans="3:10" x14ac:dyDescent="0.15">
      <c r="D65" t="s">
        <v>101</v>
      </c>
      <c r="F65" s="8"/>
      <c r="G65" s="6">
        <v>1450.57</v>
      </c>
      <c r="H65" s="6">
        <v>1439.07</v>
      </c>
      <c r="I65" s="6">
        <v>1588.9199999999998</v>
      </c>
      <c r="J65" s="6">
        <v>4478.5599999999995</v>
      </c>
    </row>
    <row r="66" spans="3:10" x14ac:dyDescent="0.15">
      <c r="C66" t="s">
        <v>102</v>
      </c>
      <c r="F66" s="8"/>
      <c r="G66" s="6">
        <v>1450.57</v>
      </c>
      <c r="H66" s="6">
        <v>1439.07</v>
      </c>
      <c r="I66" s="6">
        <v>1588.9199999999998</v>
      </c>
      <c r="J66" s="6">
        <v>4478.5599999999995</v>
      </c>
    </row>
    <row r="67" spans="3:10" x14ac:dyDescent="0.15">
      <c r="C67">
        <v>9</v>
      </c>
      <c r="D67" t="s">
        <v>48</v>
      </c>
      <c r="E67">
        <v>1</v>
      </c>
      <c r="F67" s="8"/>
      <c r="G67" s="6">
        <v>0</v>
      </c>
      <c r="H67" s="6">
        <v>700</v>
      </c>
      <c r="I67" s="6">
        <v>300</v>
      </c>
      <c r="J67" s="6">
        <v>1000</v>
      </c>
    </row>
    <row r="68" spans="3:10" x14ac:dyDescent="0.15">
      <c r="E68">
        <v>2</v>
      </c>
      <c r="F68" s="8"/>
      <c r="G68" s="6">
        <v>300</v>
      </c>
      <c r="H68" s="6">
        <v>0</v>
      </c>
      <c r="I68" s="6">
        <v>0</v>
      </c>
      <c r="J68" s="6">
        <v>300</v>
      </c>
    </row>
    <row r="69" spans="3:10" x14ac:dyDescent="0.15">
      <c r="E69">
        <v>3</v>
      </c>
      <c r="F69" s="8"/>
      <c r="G69" s="6">
        <v>0</v>
      </c>
      <c r="H69" s="6">
        <v>300</v>
      </c>
      <c r="I69" s="6">
        <v>0</v>
      </c>
      <c r="J69" s="6">
        <v>300</v>
      </c>
    </row>
    <row r="70" spans="3:10" x14ac:dyDescent="0.15">
      <c r="E70">
        <v>4</v>
      </c>
      <c r="F70" s="8"/>
      <c r="G70" s="6">
        <v>94.33</v>
      </c>
      <c r="H70" s="6">
        <v>94.32</v>
      </c>
      <c r="I70" s="6">
        <v>94.32</v>
      </c>
      <c r="J70" s="6">
        <v>282.96999999999997</v>
      </c>
    </row>
    <row r="71" spans="3:10" x14ac:dyDescent="0.15">
      <c r="E71">
        <v>5</v>
      </c>
      <c r="F71" s="8"/>
      <c r="G71" s="6">
        <v>130</v>
      </c>
      <c r="H71" s="6">
        <v>0</v>
      </c>
      <c r="I71" s="6">
        <v>0</v>
      </c>
      <c r="J71" s="6">
        <v>130</v>
      </c>
    </row>
    <row r="72" spans="3:10" x14ac:dyDescent="0.15">
      <c r="D72" t="s">
        <v>103</v>
      </c>
      <c r="F72" s="8"/>
      <c r="G72" s="6">
        <v>524.32999999999993</v>
      </c>
      <c r="H72" s="6">
        <v>1094.32</v>
      </c>
      <c r="I72" s="6">
        <v>394.32</v>
      </c>
      <c r="J72" s="6">
        <v>2012.97</v>
      </c>
    </row>
    <row r="73" spans="3:10" x14ac:dyDescent="0.15">
      <c r="C73" t="s">
        <v>104</v>
      </c>
      <c r="F73" s="8"/>
      <c r="G73" s="6">
        <v>524.32999999999993</v>
      </c>
      <c r="H73" s="6">
        <v>1094.32</v>
      </c>
      <c r="I73" s="6">
        <v>394.32</v>
      </c>
      <c r="J73" s="6">
        <v>2012.97</v>
      </c>
    </row>
    <row r="74" spans="3:10" x14ac:dyDescent="0.15">
      <c r="C74">
        <v>10</v>
      </c>
      <c r="D74" t="s">
        <v>54</v>
      </c>
      <c r="E74">
        <v>1</v>
      </c>
      <c r="F74" s="8"/>
      <c r="G74" s="6">
        <v>178.9</v>
      </c>
      <c r="H74" s="6">
        <v>126.5</v>
      </c>
      <c r="I74" s="6">
        <v>103.6</v>
      </c>
      <c r="J74" s="6">
        <v>409</v>
      </c>
    </row>
    <row r="75" spans="3:10" x14ac:dyDescent="0.15">
      <c r="E75">
        <v>2</v>
      </c>
      <c r="F75" s="8"/>
      <c r="G75" s="6">
        <v>157.80000000000001</v>
      </c>
      <c r="H75" s="6">
        <v>103.2</v>
      </c>
      <c r="I75" s="6">
        <v>0</v>
      </c>
      <c r="J75" s="6">
        <v>261</v>
      </c>
    </row>
    <row r="76" spans="3:10" x14ac:dyDescent="0.15">
      <c r="E76">
        <v>3</v>
      </c>
      <c r="F76" s="8"/>
      <c r="G76" s="6">
        <v>297.39</v>
      </c>
      <c r="H76" s="6">
        <v>156.78</v>
      </c>
      <c r="I76" s="6">
        <v>53.26</v>
      </c>
      <c r="J76" s="6">
        <v>507.42999999999995</v>
      </c>
    </row>
    <row r="77" spans="3:10" x14ac:dyDescent="0.15">
      <c r="E77">
        <v>4</v>
      </c>
      <c r="F77" s="8"/>
      <c r="G77" s="6">
        <v>326.75</v>
      </c>
      <c r="H77" s="6">
        <v>217.55</v>
      </c>
      <c r="I77" s="6">
        <v>161.76</v>
      </c>
      <c r="J77" s="6">
        <v>706.06</v>
      </c>
    </row>
    <row r="78" spans="3:10" x14ac:dyDescent="0.15">
      <c r="E78">
        <v>5</v>
      </c>
      <c r="F78" s="8"/>
      <c r="G78" s="6">
        <v>137.6</v>
      </c>
      <c r="H78" s="6">
        <v>45.8</v>
      </c>
      <c r="I78" s="6">
        <v>75.34</v>
      </c>
      <c r="J78" s="6">
        <v>258.74</v>
      </c>
    </row>
    <row r="79" spans="3:10" x14ac:dyDescent="0.15">
      <c r="E79">
        <v>6</v>
      </c>
      <c r="F79" s="8"/>
      <c r="G79" s="6">
        <v>55</v>
      </c>
      <c r="H79" s="6">
        <v>0</v>
      </c>
      <c r="I79" s="6">
        <v>0</v>
      </c>
      <c r="J79" s="6">
        <v>55</v>
      </c>
    </row>
    <row r="80" spans="3:10" x14ac:dyDescent="0.15">
      <c r="E80">
        <v>7</v>
      </c>
      <c r="F80" s="8"/>
      <c r="G80" s="6">
        <v>0</v>
      </c>
      <c r="H80" s="6">
        <v>265.33999999999997</v>
      </c>
      <c r="I80" s="6">
        <v>317.70999999999998</v>
      </c>
      <c r="J80" s="6">
        <v>583.04999999999995</v>
      </c>
    </row>
    <row r="81" spans="1:10" x14ac:dyDescent="0.15">
      <c r="E81">
        <v>8</v>
      </c>
      <c r="F81" s="8"/>
      <c r="G81" s="6">
        <v>53.35</v>
      </c>
      <c r="H81" s="6">
        <v>0</v>
      </c>
      <c r="I81" s="6">
        <v>0</v>
      </c>
      <c r="J81" s="6">
        <v>53.35</v>
      </c>
    </row>
    <row r="82" spans="1:10" x14ac:dyDescent="0.15">
      <c r="E82">
        <v>9</v>
      </c>
      <c r="F82" s="8"/>
      <c r="G82" s="6">
        <v>0</v>
      </c>
      <c r="H82" s="6">
        <v>240.18</v>
      </c>
      <c r="I82" s="6">
        <v>122.1</v>
      </c>
      <c r="J82" s="6">
        <v>362.28</v>
      </c>
    </row>
    <row r="83" spans="1:10" x14ac:dyDescent="0.15">
      <c r="D83" t="s">
        <v>105</v>
      </c>
      <c r="F83" s="8"/>
      <c r="G83" s="6">
        <v>1206.79</v>
      </c>
      <c r="H83" s="6">
        <v>1155.3499999999999</v>
      </c>
      <c r="I83" s="6">
        <v>833.7700000000001</v>
      </c>
      <c r="J83" s="6">
        <v>3195.91</v>
      </c>
    </row>
    <row r="84" spans="1:10" x14ac:dyDescent="0.15">
      <c r="C84" t="s">
        <v>106</v>
      </c>
      <c r="F84" s="8"/>
      <c r="G84" s="6">
        <v>1206.79</v>
      </c>
      <c r="H84" s="6">
        <v>1155.3499999999999</v>
      </c>
      <c r="I84" s="6">
        <v>833.7700000000001</v>
      </c>
      <c r="J84" s="6">
        <v>3195.91</v>
      </c>
    </row>
    <row r="85" spans="1:10" x14ac:dyDescent="0.15">
      <c r="C85">
        <v>11</v>
      </c>
      <c r="D85" t="s">
        <v>9</v>
      </c>
      <c r="E85">
        <v>1</v>
      </c>
      <c r="F85" s="8"/>
      <c r="G85" s="6">
        <v>6</v>
      </c>
      <c r="H85" s="6">
        <v>27.68</v>
      </c>
      <c r="I85" s="6">
        <v>41.85</v>
      </c>
      <c r="J85" s="6">
        <v>75.53</v>
      </c>
    </row>
    <row r="86" spans="1:10" x14ac:dyDescent="0.15">
      <c r="D86" t="s">
        <v>88</v>
      </c>
      <c r="F86" s="8"/>
      <c r="G86" s="6">
        <v>6</v>
      </c>
      <c r="H86" s="6">
        <v>27.68</v>
      </c>
      <c r="I86" s="6">
        <v>41.85</v>
      </c>
      <c r="J86" s="6">
        <v>75.53</v>
      </c>
    </row>
    <row r="87" spans="1:10" x14ac:dyDescent="0.15">
      <c r="C87" t="s">
        <v>107</v>
      </c>
      <c r="F87" s="8"/>
      <c r="G87" s="6">
        <v>6</v>
      </c>
      <c r="H87" s="6">
        <v>27.68</v>
      </c>
      <c r="I87" s="6">
        <v>41.85</v>
      </c>
      <c r="J87" s="6">
        <v>75.53</v>
      </c>
    </row>
    <row r="88" spans="1:10" x14ac:dyDescent="0.15">
      <c r="B88" t="s">
        <v>108</v>
      </c>
      <c r="F88" s="8"/>
      <c r="G88" s="6">
        <v>26493.360000000004</v>
      </c>
      <c r="H88" s="6">
        <v>30434.38</v>
      </c>
      <c r="I88" s="6">
        <v>26189.589999999989</v>
      </c>
      <c r="J88" s="6">
        <v>83117.33</v>
      </c>
    </row>
    <row r="89" spans="1:10" x14ac:dyDescent="0.15">
      <c r="A89" t="s">
        <v>85</v>
      </c>
      <c r="F89" s="8"/>
      <c r="G89" s="6">
        <v>26493.360000000004</v>
      </c>
      <c r="H89" s="6">
        <v>30434.38</v>
      </c>
      <c r="I89" s="6">
        <v>26189.589999999989</v>
      </c>
      <c r="J89" s="6">
        <v>83117.33</v>
      </c>
    </row>
    <row r="90" spans="1:10" x14ac:dyDescent="0.15">
      <c r="A90" t="s">
        <v>71</v>
      </c>
      <c r="B90" t="s">
        <v>71</v>
      </c>
      <c r="C90" t="s">
        <v>71</v>
      </c>
      <c r="D90" t="s">
        <v>71</v>
      </c>
      <c r="E90" t="s">
        <v>71</v>
      </c>
      <c r="F90" s="8"/>
      <c r="G90" s="6"/>
      <c r="H90" s="6"/>
      <c r="I90" s="6"/>
      <c r="J90" s="6"/>
    </row>
    <row r="91" spans="1:10" x14ac:dyDescent="0.15">
      <c r="D91" t="s">
        <v>109</v>
      </c>
      <c r="F91" s="8"/>
      <c r="G91" s="6"/>
      <c r="H91" s="6"/>
      <c r="I91" s="6"/>
      <c r="J91" s="6"/>
    </row>
    <row r="92" spans="1:10" x14ac:dyDescent="0.15">
      <c r="C92" t="s">
        <v>109</v>
      </c>
      <c r="F92" s="8"/>
      <c r="G92" s="6"/>
      <c r="H92" s="6"/>
      <c r="I92" s="6"/>
      <c r="J92" s="6"/>
    </row>
    <row r="93" spans="1:10" x14ac:dyDescent="0.15">
      <c r="B93" t="s">
        <v>109</v>
      </c>
      <c r="F93" s="8"/>
      <c r="G93" s="6"/>
      <c r="H93" s="6"/>
      <c r="I93" s="6"/>
      <c r="J93" s="6"/>
    </row>
    <row r="94" spans="1:10" x14ac:dyDescent="0.15">
      <c r="A94" t="s">
        <v>109</v>
      </c>
      <c r="F94" s="8"/>
      <c r="G94" s="6"/>
      <c r="H94" s="6"/>
      <c r="I94" s="6"/>
      <c r="J94" s="6"/>
    </row>
    <row r="95" spans="1:10" x14ac:dyDescent="0.15">
      <c r="A95" t="s">
        <v>72</v>
      </c>
      <c r="F95" s="8"/>
      <c r="G95" s="6">
        <v>57498.34</v>
      </c>
      <c r="H95" s="6">
        <v>56999.88</v>
      </c>
      <c r="I95" s="6">
        <v>58246.299999999981</v>
      </c>
      <c r="J95" s="6">
        <v>172744.51999999993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9259-44FF-BF47-A1A7-516492D5F4A7}">
  <dimension ref="A3:F74"/>
  <sheetViews>
    <sheetView topLeftCell="A2" zoomScale="136" workbookViewId="0">
      <selection activeCell="D6" sqref="D6"/>
    </sheetView>
  </sheetViews>
  <sheetFormatPr baseColWidth="10" defaultRowHeight="13" x14ac:dyDescent="0.15"/>
  <cols>
    <col min="1" max="1" width="33.6640625" bestFit="1" customWidth="1"/>
    <col min="2" max="2" width="15.83203125" bestFit="1" customWidth="1"/>
    <col min="3" max="4" width="9.1640625" bestFit="1" customWidth="1"/>
    <col min="5" max="5" width="6.6640625" bestFit="1" customWidth="1"/>
    <col min="6" max="6" width="10.6640625" bestFit="1" customWidth="1"/>
    <col min="7" max="7" width="9.1640625" bestFit="1" customWidth="1"/>
    <col min="8" max="8" width="11.1640625" bestFit="1" customWidth="1"/>
    <col min="9" max="9" width="10.6640625" bestFit="1" customWidth="1"/>
    <col min="10" max="10" width="11.1640625" bestFit="1" customWidth="1"/>
    <col min="11" max="11" width="9.1640625" bestFit="1" customWidth="1"/>
    <col min="12" max="12" width="10.6640625" bestFit="1" customWidth="1"/>
  </cols>
  <sheetData>
    <row r="3" spans="1:6" x14ac:dyDescent="0.15">
      <c r="A3" s="2" t="s">
        <v>79</v>
      </c>
      <c r="B3" s="2" t="s">
        <v>154</v>
      </c>
    </row>
    <row r="4" spans="1:6" x14ac:dyDescent="0.15">
      <c r="A4" s="2" t="s">
        <v>151</v>
      </c>
      <c r="B4" s="11">
        <v>46023</v>
      </c>
      <c r="C4" s="4">
        <v>46054</v>
      </c>
      <c r="D4" s="4">
        <v>46082</v>
      </c>
      <c r="E4" t="s">
        <v>71</v>
      </c>
      <c r="F4" t="s">
        <v>72</v>
      </c>
    </row>
    <row r="5" spans="1:6" x14ac:dyDescent="0.15">
      <c r="A5" s="3" t="s">
        <v>152</v>
      </c>
      <c r="B5" s="8">
        <v>31004.98</v>
      </c>
      <c r="C5" s="8">
        <v>26565.5</v>
      </c>
      <c r="D5" s="8">
        <v>32056.71</v>
      </c>
      <c r="E5" s="8"/>
      <c r="F5" s="8">
        <v>89627.19</v>
      </c>
    </row>
    <row r="6" spans="1:6" x14ac:dyDescent="0.15">
      <c r="A6" s="9" t="s">
        <v>9</v>
      </c>
      <c r="B6" s="8">
        <v>0</v>
      </c>
      <c r="C6" s="8">
        <v>46.65</v>
      </c>
      <c r="D6" s="8">
        <v>70.740000000000009</v>
      </c>
      <c r="E6" s="8"/>
      <c r="F6" s="8">
        <v>117.39</v>
      </c>
    </row>
    <row r="7" spans="1:6" x14ac:dyDescent="0.15">
      <c r="A7" s="10" t="s">
        <v>10</v>
      </c>
      <c r="B7" s="8">
        <v>0</v>
      </c>
      <c r="C7" s="8">
        <v>2.19</v>
      </c>
      <c r="D7" s="8">
        <v>26.28</v>
      </c>
      <c r="E7" s="8"/>
      <c r="F7" s="8">
        <v>28.470000000000002</v>
      </c>
    </row>
    <row r="8" spans="1:6" x14ac:dyDescent="0.15">
      <c r="A8" s="10" t="s">
        <v>11</v>
      </c>
      <c r="B8" s="8">
        <v>0</v>
      </c>
      <c r="C8" s="8">
        <v>44.46</v>
      </c>
      <c r="D8" s="8">
        <v>44.46</v>
      </c>
      <c r="E8" s="8"/>
      <c r="F8" s="8">
        <v>88.92</v>
      </c>
    </row>
    <row r="9" spans="1:6" x14ac:dyDescent="0.15">
      <c r="A9" s="9" t="s">
        <v>4</v>
      </c>
      <c r="B9" s="8">
        <v>-3334.5</v>
      </c>
      <c r="C9" s="8">
        <v>-2667.6</v>
      </c>
      <c r="D9" s="8">
        <v>-1707.9399999999998</v>
      </c>
      <c r="E9" s="8"/>
      <c r="F9" s="8">
        <v>-7710.0399999999991</v>
      </c>
    </row>
    <row r="10" spans="1:6" x14ac:dyDescent="0.15">
      <c r="A10" s="10" t="s">
        <v>6</v>
      </c>
      <c r="B10" s="8">
        <v>-3334.5</v>
      </c>
      <c r="C10" s="8">
        <v>-2667.6</v>
      </c>
      <c r="D10" s="8">
        <v>-3112.2</v>
      </c>
      <c r="E10" s="8"/>
      <c r="F10" s="8">
        <v>-9114.2999999999993</v>
      </c>
    </row>
    <row r="11" spans="1:6" x14ac:dyDescent="0.15">
      <c r="A11" s="10" t="s">
        <v>5</v>
      </c>
      <c r="B11" s="8">
        <v>0</v>
      </c>
      <c r="C11" s="8">
        <v>0</v>
      </c>
      <c r="D11" s="8">
        <v>1404.26</v>
      </c>
      <c r="E11" s="8"/>
      <c r="F11" s="8">
        <v>1404.26</v>
      </c>
    </row>
    <row r="12" spans="1:6" x14ac:dyDescent="0.15">
      <c r="A12" s="9" t="s">
        <v>1</v>
      </c>
      <c r="B12" s="8">
        <v>33345</v>
      </c>
      <c r="C12" s="8">
        <v>28899</v>
      </c>
      <c r="D12" s="8">
        <v>33345</v>
      </c>
      <c r="E12" s="8"/>
      <c r="F12" s="8">
        <v>95589</v>
      </c>
    </row>
    <row r="13" spans="1:6" x14ac:dyDescent="0.15">
      <c r="A13" s="10" t="s">
        <v>3</v>
      </c>
      <c r="B13" s="8">
        <v>0</v>
      </c>
      <c r="C13" s="8">
        <v>0</v>
      </c>
      <c r="D13" s="8">
        <v>2223</v>
      </c>
      <c r="E13" s="8"/>
      <c r="F13" s="8">
        <v>2223</v>
      </c>
    </row>
    <row r="14" spans="1:6" x14ac:dyDescent="0.15">
      <c r="A14" s="10" t="s">
        <v>2</v>
      </c>
      <c r="B14" s="8">
        <v>33345</v>
      </c>
      <c r="C14" s="8">
        <v>28899</v>
      </c>
      <c r="D14" s="8">
        <v>31122</v>
      </c>
      <c r="E14" s="8"/>
      <c r="F14" s="8">
        <v>93366</v>
      </c>
    </row>
    <row r="15" spans="1:6" x14ac:dyDescent="0.15">
      <c r="A15" s="9" t="s">
        <v>7</v>
      </c>
      <c r="B15" s="8">
        <v>994.48</v>
      </c>
      <c r="C15" s="8">
        <v>287.45</v>
      </c>
      <c r="D15" s="8">
        <v>348.91</v>
      </c>
      <c r="E15" s="8"/>
      <c r="F15" s="8">
        <v>1630.8400000000001</v>
      </c>
    </row>
    <row r="16" spans="1:6" x14ac:dyDescent="0.15">
      <c r="A16" s="10" t="s">
        <v>8</v>
      </c>
      <c r="B16" s="8">
        <v>994.48</v>
      </c>
      <c r="C16" s="8">
        <v>287.45</v>
      </c>
      <c r="D16" s="8">
        <v>348.91</v>
      </c>
      <c r="E16" s="8"/>
      <c r="F16" s="8">
        <v>1630.8400000000001</v>
      </c>
    </row>
    <row r="17" spans="1:6" x14ac:dyDescent="0.15">
      <c r="A17" s="3" t="s">
        <v>153</v>
      </c>
      <c r="B17" s="8">
        <v>26493.360000000008</v>
      </c>
      <c r="C17" s="8">
        <v>30434.38</v>
      </c>
      <c r="D17" s="8">
        <v>26189.590000000004</v>
      </c>
      <c r="E17" s="8"/>
      <c r="F17" s="8">
        <v>83117.329999999987</v>
      </c>
    </row>
    <row r="18" spans="1:6" x14ac:dyDescent="0.15">
      <c r="A18" s="9" t="s">
        <v>37</v>
      </c>
      <c r="B18" s="8">
        <v>66.44</v>
      </c>
      <c r="C18" s="8">
        <v>66.430000000000007</v>
      </c>
      <c r="D18" s="8">
        <v>66.430000000000007</v>
      </c>
      <c r="E18" s="8"/>
      <c r="F18" s="8">
        <v>199.3</v>
      </c>
    </row>
    <row r="19" spans="1:6" x14ac:dyDescent="0.15">
      <c r="A19" s="10" t="s">
        <v>38</v>
      </c>
      <c r="B19" s="8">
        <v>66.44</v>
      </c>
      <c r="C19" s="8">
        <v>66.430000000000007</v>
      </c>
      <c r="D19" s="8">
        <v>66.430000000000007</v>
      </c>
      <c r="E19" s="8"/>
      <c r="F19" s="8">
        <v>199.3</v>
      </c>
    </row>
    <row r="20" spans="1:6" x14ac:dyDescent="0.15">
      <c r="A20" s="9" t="s">
        <v>54</v>
      </c>
      <c r="B20" s="8">
        <v>1206.79</v>
      </c>
      <c r="C20" s="8">
        <v>1155.3499999999999</v>
      </c>
      <c r="D20" s="8">
        <v>833.77</v>
      </c>
      <c r="E20" s="8"/>
      <c r="F20" s="8">
        <v>3195.91</v>
      </c>
    </row>
    <row r="21" spans="1:6" x14ac:dyDescent="0.15">
      <c r="A21" s="10" t="s">
        <v>58</v>
      </c>
      <c r="B21" s="8">
        <v>326.75</v>
      </c>
      <c r="C21" s="8">
        <v>217.55</v>
      </c>
      <c r="D21" s="8">
        <v>161.76</v>
      </c>
      <c r="E21" s="8"/>
      <c r="F21" s="8">
        <v>706.06</v>
      </c>
    </row>
    <row r="22" spans="1:6" x14ac:dyDescent="0.15">
      <c r="A22" s="10" t="s">
        <v>55</v>
      </c>
      <c r="B22" s="8">
        <v>178.9</v>
      </c>
      <c r="C22" s="8">
        <v>126.5</v>
      </c>
      <c r="D22" s="8">
        <v>103.6</v>
      </c>
      <c r="E22" s="8"/>
      <c r="F22" s="8">
        <v>409</v>
      </c>
    </row>
    <row r="23" spans="1:6" x14ac:dyDescent="0.15">
      <c r="A23" s="10" t="s">
        <v>57</v>
      </c>
      <c r="B23" s="8">
        <v>297.39</v>
      </c>
      <c r="C23" s="8">
        <v>156.78</v>
      </c>
      <c r="D23" s="8">
        <v>53.26</v>
      </c>
      <c r="E23" s="8"/>
      <c r="F23" s="8">
        <v>507.42999999999995</v>
      </c>
    </row>
    <row r="24" spans="1:6" x14ac:dyDescent="0.15">
      <c r="A24" s="10" t="s">
        <v>62</v>
      </c>
      <c r="B24" s="8">
        <v>53.35</v>
      </c>
      <c r="C24" s="8">
        <v>0</v>
      </c>
      <c r="D24" s="8">
        <v>0</v>
      </c>
      <c r="E24" s="8"/>
      <c r="F24" s="8">
        <v>53.35</v>
      </c>
    </row>
    <row r="25" spans="1:6" x14ac:dyDescent="0.15">
      <c r="A25" s="10" t="s">
        <v>56</v>
      </c>
      <c r="B25" s="8">
        <v>157.80000000000001</v>
      </c>
      <c r="C25" s="8">
        <v>103.2</v>
      </c>
      <c r="D25" s="8">
        <v>0</v>
      </c>
      <c r="E25" s="8"/>
      <c r="F25" s="8">
        <v>261</v>
      </c>
    </row>
    <row r="26" spans="1:6" x14ac:dyDescent="0.15">
      <c r="A26" s="10" t="s">
        <v>63</v>
      </c>
      <c r="B26" s="8">
        <v>0</v>
      </c>
      <c r="C26" s="8">
        <v>240.18</v>
      </c>
      <c r="D26" s="8">
        <v>122.1</v>
      </c>
      <c r="E26" s="8"/>
      <c r="F26" s="8">
        <v>362.28</v>
      </c>
    </row>
    <row r="27" spans="1:6" x14ac:dyDescent="0.15">
      <c r="A27" s="10" t="s">
        <v>59</v>
      </c>
      <c r="B27" s="8">
        <v>137.6</v>
      </c>
      <c r="C27" s="8">
        <v>45.8</v>
      </c>
      <c r="D27" s="8">
        <v>75.34</v>
      </c>
      <c r="E27" s="8"/>
      <c r="F27" s="8">
        <v>258.74</v>
      </c>
    </row>
    <row r="28" spans="1:6" x14ac:dyDescent="0.15">
      <c r="A28" s="10" t="s">
        <v>61</v>
      </c>
      <c r="B28" s="8">
        <v>0</v>
      </c>
      <c r="C28" s="8">
        <v>265.33999999999997</v>
      </c>
      <c r="D28" s="8">
        <v>317.70999999999998</v>
      </c>
      <c r="E28" s="8"/>
      <c r="F28" s="8">
        <v>583.04999999999995</v>
      </c>
    </row>
    <row r="29" spans="1:6" x14ac:dyDescent="0.15">
      <c r="A29" s="10" t="s">
        <v>60</v>
      </c>
      <c r="B29" s="8">
        <v>55</v>
      </c>
      <c r="C29" s="8">
        <v>0</v>
      </c>
      <c r="D29" s="8">
        <v>0</v>
      </c>
      <c r="E29" s="8"/>
      <c r="F29" s="8">
        <v>55</v>
      </c>
    </row>
    <row r="30" spans="1:6" x14ac:dyDescent="0.15">
      <c r="A30" s="9" t="s">
        <v>25</v>
      </c>
      <c r="B30" s="8">
        <v>6386.98</v>
      </c>
      <c r="C30" s="8">
        <v>7532.41</v>
      </c>
      <c r="D30" s="8">
        <v>7038.48</v>
      </c>
      <c r="E30" s="8"/>
      <c r="F30" s="8">
        <v>20957.87</v>
      </c>
    </row>
    <row r="31" spans="1:6" x14ac:dyDescent="0.15">
      <c r="A31" s="10" t="s">
        <v>27</v>
      </c>
      <c r="B31" s="8">
        <v>4944.16</v>
      </c>
      <c r="C31" s="8">
        <v>6226.24</v>
      </c>
      <c r="D31" s="8">
        <v>5798.88</v>
      </c>
      <c r="E31" s="8"/>
      <c r="F31" s="8">
        <v>16969.28</v>
      </c>
    </row>
    <row r="32" spans="1:6" x14ac:dyDescent="0.15">
      <c r="A32" s="10" t="s">
        <v>26</v>
      </c>
      <c r="B32" s="8">
        <v>1317.83</v>
      </c>
      <c r="C32" s="8">
        <v>1181.18</v>
      </c>
      <c r="D32" s="8">
        <v>1111.0999999999999</v>
      </c>
      <c r="E32" s="8"/>
      <c r="F32" s="8">
        <v>3610.11</v>
      </c>
    </row>
    <row r="33" spans="1:6" x14ac:dyDescent="0.15">
      <c r="A33" s="10" t="s">
        <v>28</v>
      </c>
      <c r="B33" s="8">
        <v>124.99</v>
      </c>
      <c r="C33" s="8">
        <v>124.99</v>
      </c>
      <c r="D33" s="8">
        <v>128.5</v>
      </c>
      <c r="E33" s="8"/>
      <c r="F33" s="8">
        <v>378.48</v>
      </c>
    </row>
    <row r="34" spans="1:6" x14ac:dyDescent="0.15">
      <c r="A34" s="9" t="s">
        <v>42</v>
      </c>
      <c r="B34" s="8">
        <v>1450.57</v>
      </c>
      <c r="C34" s="8">
        <v>1439.07</v>
      </c>
      <c r="D34" s="8">
        <v>1588.9199999999998</v>
      </c>
      <c r="E34" s="8"/>
      <c r="F34" s="8">
        <v>4478.5599999999995</v>
      </c>
    </row>
    <row r="35" spans="1:6" x14ac:dyDescent="0.15">
      <c r="A35" s="10" t="s">
        <v>44</v>
      </c>
      <c r="B35" s="8">
        <v>2.5</v>
      </c>
      <c r="C35" s="8">
        <v>0</v>
      </c>
      <c r="D35" s="8">
        <v>0</v>
      </c>
      <c r="E35" s="8"/>
      <c r="F35" s="8">
        <v>2.5</v>
      </c>
    </row>
    <row r="36" spans="1:6" x14ac:dyDescent="0.15">
      <c r="A36" s="10" t="s">
        <v>46</v>
      </c>
      <c r="B36" s="8">
        <v>0</v>
      </c>
      <c r="C36" s="8">
        <v>0</v>
      </c>
      <c r="D36" s="8">
        <v>149.85</v>
      </c>
      <c r="E36" s="8"/>
      <c r="F36" s="8">
        <v>149.85</v>
      </c>
    </row>
    <row r="37" spans="1:6" x14ac:dyDescent="0.15">
      <c r="A37" s="10" t="s">
        <v>45</v>
      </c>
      <c r="B37" s="8">
        <v>9</v>
      </c>
      <c r="C37" s="8">
        <v>0</v>
      </c>
      <c r="D37" s="8">
        <v>0</v>
      </c>
      <c r="E37" s="8"/>
      <c r="F37" s="8">
        <v>9</v>
      </c>
    </row>
    <row r="38" spans="1:6" x14ac:dyDescent="0.15">
      <c r="A38" s="10" t="s">
        <v>43</v>
      </c>
      <c r="B38" s="8">
        <v>1239.07</v>
      </c>
      <c r="C38" s="8">
        <v>1239.07</v>
      </c>
      <c r="D38" s="8">
        <v>1239.07</v>
      </c>
      <c r="E38" s="8"/>
      <c r="F38" s="8">
        <v>3717.21</v>
      </c>
    </row>
    <row r="39" spans="1:6" x14ac:dyDescent="0.15">
      <c r="A39" s="10" t="s">
        <v>47</v>
      </c>
      <c r="B39" s="8">
        <v>200</v>
      </c>
      <c r="C39" s="8">
        <v>200</v>
      </c>
      <c r="D39" s="8">
        <v>200</v>
      </c>
      <c r="E39" s="8"/>
      <c r="F39" s="8">
        <v>600</v>
      </c>
    </row>
    <row r="40" spans="1:6" x14ac:dyDescent="0.15">
      <c r="A40" s="9" t="s">
        <v>9</v>
      </c>
      <c r="B40" s="8">
        <v>6</v>
      </c>
      <c r="C40" s="8">
        <v>27.68</v>
      </c>
      <c r="D40" s="8">
        <v>41.85</v>
      </c>
      <c r="E40" s="8"/>
      <c r="F40" s="8">
        <v>75.53</v>
      </c>
    </row>
    <row r="41" spans="1:6" x14ac:dyDescent="0.15">
      <c r="A41" s="10" t="s">
        <v>64</v>
      </c>
      <c r="B41" s="8">
        <v>6</v>
      </c>
      <c r="C41" s="8">
        <v>27.68</v>
      </c>
      <c r="D41" s="8">
        <v>41.85</v>
      </c>
      <c r="E41" s="8"/>
      <c r="F41" s="8">
        <v>75.53</v>
      </c>
    </row>
    <row r="42" spans="1:6" x14ac:dyDescent="0.15">
      <c r="A42" s="9" t="s">
        <v>34</v>
      </c>
      <c r="B42" s="8">
        <v>567.55000000000007</v>
      </c>
      <c r="C42" s="8">
        <v>575.15</v>
      </c>
      <c r="D42" s="8">
        <v>578.46</v>
      </c>
      <c r="E42" s="8"/>
      <c r="F42" s="8">
        <v>1721.1600000000003</v>
      </c>
    </row>
    <row r="43" spans="1:6" x14ac:dyDescent="0.15">
      <c r="A43" s="10" t="s">
        <v>36</v>
      </c>
      <c r="B43" s="8">
        <v>0.1</v>
      </c>
      <c r="C43" s="8">
        <v>1.8</v>
      </c>
      <c r="D43" s="8">
        <v>0.02</v>
      </c>
      <c r="E43" s="8"/>
      <c r="F43" s="8">
        <v>1.9200000000000002</v>
      </c>
    </row>
    <row r="44" spans="1:6" x14ac:dyDescent="0.15">
      <c r="A44" s="10" t="s">
        <v>35</v>
      </c>
      <c r="B44" s="8">
        <v>567.45000000000005</v>
      </c>
      <c r="C44" s="8">
        <v>573.35</v>
      </c>
      <c r="D44" s="8">
        <v>578.44000000000005</v>
      </c>
      <c r="E44" s="8"/>
      <c r="F44" s="8">
        <v>1719.2400000000002</v>
      </c>
    </row>
    <row r="45" spans="1:6" x14ac:dyDescent="0.15">
      <c r="A45" s="9" t="s">
        <v>29</v>
      </c>
      <c r="B45" s="8">
        <v>650</v>
      </c>
      <c r="C45" s="8">
        <v>1660</v>
      </c>
      <c r="D45" s="8">
        <v>650</v>
      </c>
      <c r="E45" s="8"/>
      <c r="F45" s="8">
        <v>2960</v>
      </c>
    </row>
    <row r="46" spans="1:6" x14ac:dyDescent="0.15">
      <c r="A46" s="10" t="s">
        <v>30</v>
      </c>
      <c r="B46" s="8">
        <v>650</v>
      </c>
      <c r="C46" s="8">
        <v>650</v>
      </c>
      <c r="D46" s="8">
        <v>650</v>
      </c>
      <c r="E46" s="8"/>
      <c r="F46" s="8">
        <v>1950</v>
      </c>
    </row>
    <row r="47" spans="1:6" x14ac:dyDescent="0.15">
      <c r="A47" s="10" t="s">
        <v>31</v>
      </c>
      <c r="B47" s="8">
        <v>0</v>
      </c>
      <c r="C47" s="8">
        <v>1010</v>
      </c>
      <c r="D47" s="8">
        <v>0</v>
      </c>
      <c r="E47" s="8"/>
      <c r="F47" s="8">
        <v>1010</v>
      </c>
    </row>
    <row r="48" spans="1:6" x14ac:dyDescent="0.15">
      <c r="A48" s="9" t="s">
        <v>32</v>
      </c>
      <c r="B48" s="8">
        <v>349.33</v>
      </c>
      <c r="C48" s="8">
        <v>349.31</v>
      </c>
      <c r="D48" s="8">
        <v>0</v>
      </c>
      <c r="E48" s="8"/>
      <c r="F48" s="8">
        <v>698.64</v>
      </c>
    </row>
    <row r="49" spans="1:6" x14ac:dyDescent="0.15">
      <c r="A49" s="10" t="s">
        <v>33</v>
      </c>
      <c r="B49" s="8">
        <v>349.33</v>
      </c>
      <c r="C49" s="8">
        <v>349.31</v>
      </c>
      <c r="D49" s="8">
        <v>0</v>
      </c>
      <c r="E49" s="8"/>
      <c r="F49" s="8">
        <v>698.64</v>
      </c>
    </row>
    <row r="50" spans="1:6" x14ac:dyDescent="0.15">
      <c r="A50" s="9" t="s">
        <v>39</v>
      </c>
      <c r="B50" s="8">
        <v>22</v>
      </c>
      <c r="C50" s="8">
        <v>38.86</v>
      </c>
      <c r="D50" s="8">
        <v>22</v>
      </c>
      <c r="E50" s="8"/>
      <c r="F50" s="8">
        <v>82.86</v>
      </c>
    </row>
    <row r="51" spans="1:6" x14ac:dyDescent="0.15">
      <c r="A51" s="10" t="s">
        <v>40</v>
      </c>
      <c r="B51" s="8">
        <v>22</v>
      </c>
      <c r="C51" s="8">
        <v>22</v>
      </c>
      <c r="D51" s="8">
        <v>22</v>
      </c>
      <c r="E51" s="8"/>
      <c r="F51" s="8">
        <v>66</v>
      </c>
    </row>
    <row r="52" spans="1:6" x14ac:dyDescent="0.15">
      <c r="A52" s="10" t="s">
        <v>41</v>
      </c>
      <c r="B52" s="8">
        <v>0</v>
      </c>
      <c r="C52" s="8">
        <v>16.86</v>
      </c>
      <c r="D52" s="8">
        <v>0</v>
      </c>
      <c r="E52" s="8"/>
      <c r="F52" s="8">
        <v>16.86</v>
      </c>
    </row>
    <row r="53" spans="1:6" x14ac:dyDescent="0.15">
      <c r="A53" s="9" t="s">
        <v>13</v>
      </c>
      <c r="B53" s="8">
        <v>15263.37</v>
      </c>
      <c r="C53" s="8">
        <v>16495.8</v>
      </c>
      <c r="D53" s="8">
        <v>14975.36</v>
      </c>
      <c r="E53" s="8"/>
      <c r="F53" s="8">
        <v>46734.53</v>
      </c>
    </row>
    <row r="54" spans="1:6" x14ac:dyDescent="0.15">
      <c r="A54" s="10" t="s">
        <v>15</v>
      </c>
      <c r="B54" s="8">
        <v>0</v>
      </c>
      <c r="C54" s="8">
        <v>1691.16</v>
      </c>
      <c r="D54" s="8">
        <v>0</v>
      </c>
      <c r="E54" s="8"/>
      <c r="F54" s="8">
        <v>1691.16</v>
      </c>
    </row>
    <row r="55" spans="1:6" x14ac:dyDescent="0.15">
      <c r="A55" s="10" t="s">
        <v>17</v>
      </c>
      <c r="B55" s="8">
        <v>576.37</v>
      </c>
      <c r="C55" s="8">
        <v>567.29</v>
      </c>
      <c r="D55" s="8">
        <v>525.52</v>
      </c>
      <c r="E55" s="8"/>
      <c r="F55" s="8">
        <v>1669.1799999999998</v>
      </c>
    </row>
    <row r="56" spans="1:6" x14ac:dyDescent="0.15">
      <c r="A56" s="10" t="s">
        <v>23</v>
      </c>
      <c r="B56" s="8">
        <v>240.27</v>
      </c>
      <c r="C56" s="8">
        <v>0</v>
      </c>
      <c r="D56" s="8">
        <v>0</v>
      </c>
      <c r="E56" s="8"/>
      <c r="F56" s="8">
        <v>240.27</v>
      </c>
    </row>
    <row r="57" spans="1:6" x14ac:dyDescent="0.15">
      <c r="A57" s="10" t="s">
        <v>16</v>
      </c>
      <c r="B57" s="8">
        <v>2675.64</v>
      </c>
      <c r="C57" s="8">
        <v>2816.97</v>
      </c>
      <c r="D57" s="8">
        <v>2737.81</v>
      </c>
      <c r="E57" s="8"/>
      <c r="F57" s="8">
        <v>8230.42</v>
      </c>
    </row>
    <row r="58" spans="1:6" x14ac:dyDescent="0.15">
      <c r="A58" s="10" t="s">
        <v>21</v>
      </c>
      <c r="B58" s="8">
        <v>527</v>
      </c>
      <c r="C58" s="8">
        <v>1003.99</v>
      </c>
      <c r="D58" s="8">
        <v>11.79</v>
      </c>
      <c r="E58" s="8"/>
      <c r="F58" s="8">
        <v>1542.78</v>
      </c>
    </row>
    <row r="59" spans="1:6" x14ac:dyDescent="0.15">
      <c r="A59" s="10" t="s">
        <v>22</v>
      </c>
      <c r="B59" s="8">
        <v>72.040000000000006</v>
      </c>
      <c r="C59" s="8">
        <v>76.239999999999995</v>
      </c>
      <c r="D59" s="8">
        <v>0</v>
      </c>
      <c r="E59" s="8"/>
      <c r="F59" s="8">
        <v>148.28</v>
      </c>
    </row>
    <row r="60" spans="1:6" x14ac:dyDescent="0.15">
      <c r="A60" s="10" t="s">
        <v>24</v>
      </c>
      <c r="B60" s="8">
        <v>2800</v>
      </c>
      <c r="C60" s="8">
        <v>2800</v>
      </c>
      <c r="D60" s="8">
        <v>2800</v>
      </c>
      <c r="E60" s="8"/>
      <c r="F60" s="8">
        <v>8400</v>
      </c>
    </row>
    <row r="61" spans="1:6" x14ac:dyDescent="0.15">
      <c r="A61" s="10" t="s">
        <v>14</v>
      </c>
      <c r="B61" s="8">
        <v>7109.65</v>
      </c>
      <c r="C61" s="8">
        <v>6585.35</v>
      </c>
      <c r="D61" s="8">
        <v>7176.24</v>
      </c>
      <c r="E61" s="8"/>
      <c r="F61" s="8">
        <v>20871.239999999998</v>
      </c>
    </row>
    <row r="62" spans="1:6" x14ac:dyDescent="0.15">
      <c r="A62" s="10" t="s">
        <v>18</v>
      </c>
      <c r="B62" s="8">
        <v>960</v>
      </c>
      <c r="C62" s="8">
        <v>620</v>
      </c>
      <c r="D62" s="8">
        <v>1400</v>
      </c>
      <c r="E62" s="8"/>
      <c r="F62" s="8">
        <v>2980</v>
      </c>
    </row>
    <row r="63" spans="1:6" x14ac:dyDescent="0.15">
      <c r="A63" s="10" t="s">
        <v>20</v>
      </c>
      <c r="B63" s="8">
        <v>151.19999999999999</v>
      </c>
      <c r="C63" s="8">
        <v>172.8</v>
      </c>
      <c r="D63" s="8">
        <v>0</v>
      </c>
      <c r="E63" s="8"/>
      <c r="F63" s="8">
        <v>324</v>
      </c>
    </row>
    <row r="64" spans="1:6" x14ac:dyDescent="0.15">
      <c r="A64" s="10" t="s">
        <v>19</v>
      </c>
      <c r="B64" s="8">
        <v>151.19999999999999</v>
      </c>
      <c r="C64" s="8">
        <v>162</v>
      </c>
      <c r="D64" s="8">
        <v>324</v>
      </c>
      <c r="E64" s="8"/>
      <c r="F64" s="8">
        <v>637.20000000000005</v>
      </c>
    </row>
    <row r="65" spans="1:6" x14ac:dyDescent="0.15">
      <c r="A65" s="9" t="s">
        <v>48</v>
      </c>
      <c r="B65" s="8">
        <v>524.32999999999993</v>
      </c>
      <c r="C65" s="8">
        <v>1094.32</v>
      </c>
      <c r="D65" s="8">
        <v>394.32</v>
      </c>
      <c r="E65" s="8"/>
      <c r="F65" s="8">
        <v>2012.97</v>
      </c>
    </row>
    <row r="66" spans="1:6" x14ac:dyDescent="0.15">
      <c r="A66" s="10" t="s">
        <v>51</v>
      </c>
      <c r="B66" s="8">
        <v>0</v>
      </c>
      <c r="C66" s="8">
        <v>300</v>
      </c>
      <c r="D66" s="8">
        <v>0</v>
      </c>
      <c r="E66" s="8"/>
      <c r="F66" s="8">
        <v>300</v>
      </c>
    </row>
    <row r="67" spans="1:6" x14ac:dyDescent="0.15">
      <c r="A67" s="10" t="s">
        <v>50</v>
      </c>
      <c r="B67" s="8">
        <v>300</v>
      </c>
      <c r="C67" s="8">
        <v>0</v>
      </c>
      <c r="D67" s="8">
        <v>0</v>
      </c>
      <c r="E67" s="8"/>
      <c r="F67" s="8">
        <v>300</v>
      </c>
    </row>
    <row r="68" spans="1:6" x14ac:dyDescent="0.15">
      <c r="A68" s="10" t="s">
        <v>52</v>
      </c>
      <c r="B68" s="8">
        <v>94.33</v>
      </c>
      <c r="C68" s="8">
        <v>94.32</v>
      </c>
      <c r="D68" s="8">
        <v>94.32</v>
      </c>
      <c r="E68" s="8"/>
      <c r="F68" s="8">
        <v>282.96999999999997</v>
      </c>
    </row>
    <row r="69" spans="1:6" x14ac:dyDescent="0.15">
      <c r="A69" s="10" t="s">
        <v>53</v>
      </c>
      <c r="B69" s="8">
        <v>130</v>
      </c>
      <c r="C69" s="8">
        <v>0</v>
      </c>
      <c r="D69" s="8">
        <v>0</v>
      </c>
      <c r="E69" s="8"/>
      <c r="F69" s="8">
        <v>130</v>
      </c>
    </row>
    <row r="70" spans="1:6" x14ac:dyDescent="0.15">
      <c r="A70" s="10" t="s">
        <v>49</v>
      </c>
      <c r="B70" s="8">
        <v>0</v>
      </c>
      <c r="C70" s="8">
        <v>700</v>
      </c>
      <c r="D70" s="8">
        <v>300</v>
      </c>
      <c r="E70" s="8"/>
      <c r="F70" s="8">
        <v>1000</v>
      </c>
    </row>
    <row r="71" spans="1:6" x14ac:dyDescent="0.15">
      <c r="A71" s="3" t="s">
        <v>71</v>
      </c>
      <c r="B71" s="8"/>
      <c r="C71" s="8"/>
      <c r="D71" s="8"/>
      <c r="E71" s="8"/>
      <c r="F71" s="8"/>
    </row>
    <row r="72" spans="1:6" x14ac:dyDescent="0.15">
      <c r="A72" s="9" t="s">
        <v>71</v>
      </c>
      <c r="B72" s="8"/>
      <c r="C72" s="8"/>
      <c r="D72" s="8"/>
      <c r="E72" s="8"/>
      <c r="F72" s="8"/>
    </row>
    <row r="73" spans="1:6" x14ac:dyDescent="0.15">
      <c r="A73" s="10" t="s">
        <v>71</v>
      </c>
      <c r="B73" s="8"/>
      <c r="C73" s="8"/>
      <c r="D73" s="8"/>
      <c r="E73" s="8"/>
      <c r="F73" s="8"/>
    </row>
    <row r="74" spans="1:6" x14ac:dyDescent="0.15">
      <c r="A74" s="3" t="s">
        <v>72</v>
      </c>
      <c r="B74" s="8">
        <v>57498.339999999989</v>
      </c>
      <c r="C74" s="8">
        <v>56999.88</v>
      </c>
      <c r="D74" s="8">
        <v>58246.299999999981</v>
      </c>
      <c r="E74" s="8"/>
      <c r="F74" s="8">
        <v>172744.52000000002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dimP&amp;L</vt:lpstr>
      <vt:lpstr>Dinamica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Yuri Rios</cp:lastModifiedBy>
  <cp:revision>0</cp:revision>
  <dcterms:created xsi:type="dcterms:W3CDTF">2026-05-07T09:50:43Z</dcterms:created>
  <dcterms:modified xsi:type="dcterms:W3CDTF">2026-07-07T18:08:05Z</dcterms:modified>
</cp:coreProperties>
</file>